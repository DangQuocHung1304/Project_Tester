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1.Tester\LyThuyet\BaoCaoCuoiKy\"/>
    </mc:Choice>
  </mc:AlternateContent>
  <xr:revisionPtr revIDLastSave="0" documentId="8_{BD65DA10-F26A-40EF-8171-6E0701F6863D}" xr6:coauthVersionLast="47" xr6:coauthVersionMax="47" xr10:uidLastSave="{00000000-0000-0000-0000-000000000000}"/>
  <bookViews>
    <workbookView xWindow="-120" yWindow="-120" windowWidth="29040" windowHeight="15720" activeTab="5" xr2:uid="{6E112AB3-304F-4D1A-872C-A06052B60E4C}"/>
  </bookViews>
  <sheets>
    <sheet name="Plan&amp;Control" sheetId="7" r:id="rId1"/>
    <sheet name="Cover" sheetId="8" r:id="rId2"/>
    <sheet name="Checklist" sheetId="2" r:id="rId3"/>
    <sheet name="GUI Test" sheetId="1" r:id="rId4"/>
    <sheet name="Scenario" sheetId="3" r:id="rId5"/>
    <sheet name="Testcases 3 - Đặt phòng" sheetId="9" r:id="rId6"/>
    <sheet name="Testcases 2 - Đăng ký" sheetId="5" r:id="rId7"/>
    <sheet name="Testcases 1 - Đăng nhập" sheetId="4" r:id="rId8"/>
    <sheet name="Bug Tracking" sheetId="6"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9" l="1"/>
  <c r="O4" i="9"/>
  <c r="M4" i="9"/>
  <c r="O3" i="9"/>
  <c r="M3" i="9"/>
  <c r="O2" i="9"/>
  <c r="M2" i="9"/>
  <c r="M5" i="9" s="1"/>
  <c r="O5" i="5"/>
  <c r="O4" i="5"/>
  <c r="O3" i="5"/>
  <c r="O2" i="5"/>
  <c r="M4" i="5"/>
  <c r="M3" i="5"/>
  <c r="M2" i="5"/>
  <c r="M5" i="5" s="1"/>
  <c r="M4" i="4"/>
  <c r="M3" i="4"/>
  <c r="M2" i="4"/>
  <c r="O2" i="4"/>
  <c r="O3" i="4"/>
  <c r="O4" i="4"/>
  <c r="O5" i="4"/>
  <c r="M5" i="4" l="1"/>
</calcChain>
</file>

<file path=xl/sharedStrings.xml><?xml version="1.0" encoding="utf-8"?>
<sst xmlns="http://schemas.openxmlformats.org/spreadsheetml/2006/main" count="779" uniqueCount="472">
  <si>
    <t>Số thứ tự</t>
  </si>
  <si>
    <t>Việc cần làm</t>
  </si>
  <si>
    <t>Phân công công việc</t>
  </si>
  <si>
    <t>Dự kiến bắt đầu</t>
  </si>
  <si>
    <t>Dự kiến kết thúc</t>
  </si>
  <si>
    <t>Thời lượng dự kiến</t>
  </si>
  <si>
    <t>Thực tế bắt đầu</t>
  </si>
  <si>
    <t>Thực tế kết thúc</t>
  </si>
  <si>
    <t>Thời gian thực tế</t>
  </si>
  <si>
    <t>Hoàn thành</t>
  </si>
  <si>
    <t>Tìm project</t>
  </si>
  <si>
    <t>Đặng Quốc Hưng</t>
  </si>
  <si>
    <t>22/9/2025</t>
  </si>
  <si>
    <t>1 ngày</t>
  </si>
  <si>
    <t>Fix project và liên kết Database</t>
  </si>
  <si>
    <t>23/9/2025</t>
  </si>
  <si>
    <t>12 ngày</t>
  </si>
  <si>
    <t>16 ngày</t>
  </si>
  <si>
    <t>Test plan - checklist</t>
  </si>
  <si>
    <t>Trần Mỹ Duyên</t>
  </si>
  <si>
    <t xml:space="preserve">1 ngày </t>
  </si>
  <si>
    <t>GUI Test</t>
  </si>
  <si>
    <t>4 ngày</t>
  </si>
  <si>
    <t>Chưa kết thúc</t>
  </si>
  <si>
    <t>Scenario</t>
  </si>
  <si>
    <t>13/10/2025</t>
  </si>
  <si>
    <t>6 ngày</t>
  </si>
  <si>
    <t>Testcases 1 - Đăng nhập</t>
  </si>
  <si>
    <t>15/10/2025</t>
  </si>
  <si>
    <t>2 ngày</t>
  </si>
  <si>
    <t>Testcases 2 - Đăng ký</t>
  </si>
  <si>
    <t>17/10/2025</t>
  </si>
  <si>
    <t>Bảng điều khiển Tổng hợp (Dashboard)</t>
  </si>
  <si>
    <r>
      <t>Mục đích:</t>
    </r>
    <r>
      <rPr>
        <sz val="13"/>
        <color theme="1"/>
        <rFont val="Times New Roman"/>
      </rPr>
      <t xml:space="preserve"> Cung cấp một bức tranh tổng thể về tiến độ và chất lượng của dự án cho Quản lý Dự án (PM), khách hàng và các bên liên quan.</t>
    </r>
  </si>
  <si>
    <r>
      <t>Đặc điểm:</t>
    </r>
    <r>
      <rPr>
        <sz val="13"/>
        <color theme="1"/>
        <rFont val="Times New Roman"/>
      </rPr>
      <t xml:space="preserve"> Trực quan, sử dụng biểu đồ và các con số biết nói. Thường được tạo tự động từ các tool quản lý test hoặc tổng hợp từ các file Excel ở trên.</t>
    </r>
  </si>
  <si>
    <t>Các thành phần nên có trong Dashboard:</t>
  </si>
  <si>
    <t>1. Tổng quan Thực thi Test Case (Test Execution Summary):</t>
  </si>
  <si>
    <t>Tổng số Test Case: 150</t>
  </si>
  <si>
    <t>Đã thực thi (Executed): 120 (80%)</t>
  </si>
  <si>
    <t>Chưa thực thi (Not Executed): 30 (20%)</t>
  </si>
  <si>
    <t>2. Biểu đồ tròn: Tỷ lệ Kết quả Test Case (Test Case Status)</t>
  </si>
  <si>
    <r>
      <t>Pass:</t>
    </r>
    <r>
      <rPr>
        <sz val="13"/>
        <color theme="1"/>
        <rFont val="Times New Roman"/>
      </rPr>
      <t xml:space="preserve"> 95 (79%)</t>
    </r>
  </si>
  <si>
    <r>
      <t>Fail:</t>
    </r>
    <r>
      <rPr>
        <sz val="13"/>
        <color theme="1"/>
        <rFont val="Times New Roman"/>
      </rPr>
      <t xml:space="preserve"> 20 (17%)</t>
    </r>
  </si>
  <si>
    <r>
      <t>Blocked:</t>
    </r>
    <r>
      <rPr>
        <sz val="13"/>
        <color theme="1"/>
        <rFont val="Times New Roman"/>
      </rPr>
      <t xml:space="preserve"> 5 (4%)</t>
    </r>
  </si>
  <si>
    <t>3. Biểu đồ cột: Tình trạng Lỗi (Bugs by Status)</t>
  </si>
  <si>
    <r>
      <t>Open:</t>
    </r>
    <r>
      <rPr>
        <sz val="13"/>
        <color theme="1"/>
        <rFont val="Times New Roman"/>
      </rPr>
      <t xml:space="preserve"> 12</t>
    </r>
  </si>
  <si>
    <r>
      <t>In Progress (Đang sửa):</t>
    </r>
    <r>
      <rPr>
        <sz val="13"/>
        <color theme="1"/>
        <rFont val="Times New Roman"/>
      </rPr>
      <t xml:space="preserve"> 5</t>
    </r>
  </si>
  <si>
    <r>
      <t>Ready for Test (Sẵn sàng để test lại):</t>
    </r>
    <r>
      <rPr>
        <sz val="13"/>
        <color theme="1"/>
        <rFont val="Times New Roman"/>
      </rPr>
      <t xml:space="preserve"> 8</t>
    </r>
  </si>
  <si>
    <r>
      <t>Closed:</t>
    </r>
    <r>
      <rPr>
        <sz val="13"/>
        <color theme="1"/>
        <rFont val="Times New Roman"/>
      </rPr>
      <t xml:space="preserve"> 35</t>
    </r>
  </si>
  <si>
    <t>4. Biểu đồ cột: Lỗi theo Mức độ nghiêm trọng (Bugs by Severity)</t>
  </si>
  <si>
    <r>
      <t>Critical (Nghiêm trọng):</t>
    </r>
    <r>
      <rPr>
        <sz val="13"/>
        <color theme="1"/>
        <rFont val="Times New Roman"/>
      </rPr>
      <t xml:space="preserve"> 3</t>
    </r>
  </si>
  <si>
    <r>
      <t>High (Cao):</t>
    </r>
    <r>
      <rPr>
        <sz val="13"/>
        <color theme="1"/>
        <rFont val="Times New Roman"/>
      </rPr>
      <t xml:space="preserve"> 10</t>
    </r>
  </si>
  <si>
    <r>
      <t>Medium (Trung bình):</t>
    </r>
    <r>
      <rPr>
        <sz val="13"/>
        <color theme="1"/>
        <rFont val="Times New Roman"/>
      </rPr>
      <t xml:space="preserve"> 15</t>
    </r>
  </si>
  <si>
    <r>
      <t>Low (Thấp):</t>
    </r>
    <r>
      <rPr>
        <sz val="13"/>
        <color theme="1"/>
        <rFont val="Times New Roman"/>
      </rPr>
      <t xml:space="preserve"> 7</t>
    </r>
  </si>
  <si>
    <t>STT</t>
  </si>
  <si>
    <t>Hạng mục kiểm tra (Check Item)</t>
  </si>
  <si>
    <t>Trạng thái (Status)</t>
  </si>
  <si>
    <t>Ghi chú (Notes)</t>
  </si>
  <si>
    <t>Giao diện trang Đăng nhập</t>
  </si>
  <si>
    <t> </t>
  </si>
  <si>
    <t>Hiển thị đầy đủ các thành phần (tiêu đề, ô username, ô password, nút đăng nhập, nút tạo tài khoản, nút quay lại trang chủ)</t>
  </si>
  <si>
    <t>Pass</t>
  </si>
  <si>
    <t>Giao diện hiển thị tốt trên Chrome</t>
  </si>
  <si>
    <t>Chia Checklist thành</t>
  </si>
  <si>
    <t>GUI</t>
  </si>
  <si>
    <t>Funtion</t>
  </si>
  <si>
    <t>Non-funtion</t>
  </si>
  <si>
    <t>Giao diện hiển thị tốt trên Microsoft Edge</t>
  </si>
  <si>
    <t>Chức năng Đăng nhập thành công</t>
  </si>
  <si>
    <t>Đăng nhập với tài khoản hợp lệ</t>
  </si>
  <si>
    <t>Chức năng Đăng nhập thất bại</t>
  </si>
  <si>
    <t>Đăng nhập với sai mật khẩu</t>
  </si>
  <si>
    <t>Đăng nhập với sai username</t>
  </si>
  <si>
    <t>Để trống username và password</t>
  </si>
  <si>
    <t>Nút tạo tài khoản</t>
  </si>
  <si>
    <t>Nút tạo tài khoản hoạt động</t>
  </si>
  <si>
    <t>Nút quay lại trang chủ</t>
  </si>
  <si>
    <t>Nút quay lại trang chủ ban đầu hoạt động</t>
  </si>
  <si>
    <t>Giao diện trang Đăng kí</t>
  </si>
  <si>
    <t>Hiển thị đầy đủ các thành phần điền thông tin cá nhân để đăng kí</t>
  </si>
  <si>
    <t>Nút quay lại trang đăng nhập</t>
  </si>
  <si>
    <t>Nút quay lại trang đăng nhập hoạt động</t>
  </si>
  <si>
    <t>Nút đăng nhập</t>
  </si>
  <si>
    <t>Nút quay lại trang đăng nhập điền thông tin hoạt động</t>
  </si>
  <si>
    <t>BUG_ID</t>
  </si>
  <si>
    <t>BUG_OVERVIEW</t>
  </si>
  <si>
    <t>BUG-DETAIL</t>
  </si>
  <si>
    <t>EXPECTED RESULT</t>
  </si>
  <si>
    <t>NOTE/REFERRENCES</t>
  </si>
  <si>
    <t>TrangChu_1</t>
  </si>
  <si>
    <t>Lỗi font chữ</t>
  </si>
  <si>
    <t>Lỗi font chữ không đồng nhất</t>
  </si>
  <si>
    <t>Chỉnh lại đồng nhất một font chữ</t>
  </si>
  <si>
    <t>TrangChu_2</t>
  </si>
  <si>
    <t>Màu chữ không đem lại ấn tượng</t>
  </si>
  <si>
    <t>Màu chữ nội dung ở trang chủ bị chìm gây ra việc khách hàng không cảm thấy sự sáng tạo</t>
  </si>
  <si>
    <t>Nên kết hợp với những màu tương thích với nhau để tạo nên sự độc lạ, mới mẻ trong phong cách định hướng</t>
  </si>
  <si>
    <t>TrangChu_3</t>
  </si>
  <si>
    <t xml:space="preserve">Menu Bar không đều </t>
  </si>
  <si>
    <t>Những tab trên menu bar không đều làm mất thẩm mĩ</t>
  </si>
  <si>
    <t>Chỉnh và kiểm tra lại cho đều và cùng trên một hàng ngang, khoảng cách giữa các tab cũng phải đều</t>
  </si>
  <si>
    <t>TrangChu_4</t>
  </si>
  <si>
    <t>Hình ảnh bị méo hoặc không đồng nhất</t>
  </si>
  <si>
    <t>Trong phần thông tin một số hình ảnh bị co méo, không cân đối giữa các mục</t>
  </si>
  <si>
    <t>Quy định kích thước ảnh cố định để hiển thị đồng nhất và cân đối</t>
  </si>
  <si>
    <t>TrangChu_5</t>
  </si>
  <si>
    <t>Cỡ chữ không thu hút được mắt nhìn</t>
  </si>
  <si>
    <t xml:space="preserve">Tiêu đề là phần thể hiện nội dung nên cần phải làm rõ hơn </t>
  </si>
  <si>
    <t>Tiêu đề nên để cỡ chữ lớn hơn so với nội dung</t>
  </si>
  <si>
    <t>TrangChu_6</t>
  </si>
  <si>
    <t>Dropdown menu hiển thị lỗi màu sắc khi chọn</t>
  </si>
  <si>
    <t>Khi không chọn thì màu trắng, chọn rồi thì tất cả các tab chuyển sang màu xanh là không đúng logic làm web</t>
  </si>
  <si>
    <t>Khi bấm vào tab nào thì chỉ có tab đó được đổi màu còn lại các tab khác phải giữ nguyên</t>
  </si>
  <si>
    <t>TrangChu_7</t>
  </si>
  <si>
    <t>Thiếu logo homestay trên trang chủ</t>
  </si>
  <si>
    <t>Trang chủ không có logo góc trái như yêu cầu phần 7.2.1</t>
  </si>
  <si>
    <t>Logo homestay phải hiển thị ở góc trái thanh điều hướng</t>
  </si>
  <si>
    <t>TrangChu_8</t>
  </si>
  <si>
    <t>Thiếu biểu tượng (icon) cho các mục menu</t>
  </si>
  <si>
    <t>Menu chỉ có chữ, không có icon minh họa</t>
  </si>
  <si>
    <t>Thêm icon như: 🏠 Trang chủ, 👤 Tài khoản, 🛏 Phòng, 📄 Hóa đơn,...</t>
  </si>
  <si>
    <t>Thanh menu</t>
  </si>
  <si>
    <t>Thiếu các mục theo yêu cầu</t>
  </si>
  <si>
    <t>Không thấy mục  “Hóa đơn”, “Đặt phòng của tôi” trong phần liệt kê.</t>
  </si>
  <si>
    <t>TrangChu_9</t>
  </si>
  <si>
    <t>Hóa đơn (Customer)</t>
  </si>
  <si>
    <t>Không thấy trang Hóa đơn chi tiết</t>
  </si>
  <si>
    <t>SRS 7.2.6: danh sách hóa đơn + chi tiết, in/tải PDF. File không có nội dung cụ thể.</t>
  </si>
  <si>
    <t>Register_1</t>
  </si>
  <si>
    <t>Thiếu ràng buộc thông tin</t>
  </si>
  <si>
    <t>Thiếu ràng buộc bắt buộc nhập dữ liệu cho các TextBox nhập thông tin</t>
  </si>
  <si>
    <t>Thêm dấu * màu đỏ để khách hàng biết được đó là những thông tin quan trọng để điền</t>
  </si>
  <si>
    <t>Register_2</t>
  </si>
  <si>
    <t>Nút “Tạo tài khoản” / “Đăng Nhập” không nhất quán kích thước &amp; style</t>
  </si>
  <si>
    <t>Trên trang Đăng nhập và Đăng ký, nút có màu/khổ khác nhau (kích thước nhỏ/không nổi bật) làm trải nghiệm không nhất quán</t>
  </si>
  <si>
    <t>Thống nhất style (kích thước, màu, trạng thái hover/disabled) cho các nút chính trên site</t>
  </si>
  <si>
    <t>Register_3</t>
  </si>
  <si>
    <t>Thiếu trường xác nhận mật khẩu</t>
  </si>
  <si>
    <t>Chỉ có ô "Mật khẩu", không có ô "Xác nhận mật khẩu" để người dùng nhập lại kiểm tra sai/nhầm</t>
  </si>
  <si>
    <t>Thêm trường Xác nhận mật khẩu và validate phải trùng với "Mật khẩu" trước khi cho tạo tài khoản</t>
  </si>
  <si>
    <t>Register_4</t>
  </si>
  <si>
    <t>Không có hướng dẫn/placeholder cho định dạng</t>
  </si>
  <si>
    <t>Các ô như Số CCCD, Số ĐT, Email không có placeholder/hint (ví dụ: “vd: 0989123456”, “vd: abc@xyz.com”) dẫn tới người dùng nhập sai format</t>
  </si>
  <si>
    <t>Thêm placeholder/tooltip hoặc ví dụ định dạng cho mỗi ô để hướng dẫn người dùng.</t>
  </si>
  <si>
    <t>Register_5</t>
  </si>
  <si>
    <t>Email thiếu validate định dạng và phản hồi lỗi</t>
  </si>
  <si>
    <t>Không có gợi ý hoặc thông báo khi Email nhập sai định dạng</t>
  </si>
  <si>
    <t>Validate định dạng email và hiển thị lỗi rõ ràng nếu sai</t>
  </si>
  <si>
    <t>Register_6</t>
  </si>
  <si>
    <t>Không ràng buộc kiểu/độ dài cho Số CCCD và Số ĐT</t>
  </si>
  <si>
    <t>Phải dưa ra thông tin bắt buộc về số kí tự hoặc số phải nhập</t>
  </si>
  <si>
    <t xml:space="preserve">Chỉ cho nhập số, kiểm tra độ dài hợp lệ tránh bị chèn kí tự </t>
  </si>
  <si>
    <t>Register_7</t>
  </si>
  <si>
    <t>Không có thông tin yêu cầu mật khẩu</t>
  </si>
  <si>
    <t>Người dùng không biết mật khẩu phải có độ dài/ký tự thế nào</t>
  </si>
  <si>
    <t>Hiển thị chính sách mật khẩu (vd: ≥8 ký tự, 1 chữ hoa, 1 số)</t>
  </si>
  <si>
    <t>Login_1</t>
  </si>
  <si>
    <t xml:space="preserve">Thiếu tính bảo mật </t>
  </si>
  <si>
    <t>Phần password không hiển thị việc ẩn pass để đảm bảo thông tin không bị nhìn trộm</t>
  </si>
  <si>
    <t xml:space="preserve">Cần phải có tính năng ẩn password để đảm bảo cho khách hàng </t>
  </si>
  <si>
    <t>Login_2</t>
  </si>
  <si>
    <t>Nhãn (label) và chữ hướng dẫn màu nhạt, font nhỏ — khó đọc</t>
  </si>
  <si>
    <t>Label như “Tên Đăng Nhập”, “Mật Khẩu” dùng màu xanh nhạt và khoảng cách nhỏ, dễ bị lẫn với background</t>
  </si>
  <si>
    <t>Tăng contrast màu label, tăng cỡ chữ hơi lớn hơn và đảm bảo spacing dễ đọc</t>
  </si>
  <si>
    <t>Login_3</t>
  </si>
  <si>
    <t>Thiếu link/tuỳ chọn “Quên mật khẩu” trên trang</t>
  </si>
  <si>
    <t>Trang Login không hiển thị link “Quên mật khẩu?” để người dùng reset khi quên</t>
  </si>
  <si>
    <t>Thêm link “Quên mật khẩu” dẫn tới flow khôi phục (email/OTP)</t>
  </si>
  <si>
    <t>DatPhong_1</t>
  </si>
  <si>
    <t>Thiếu ràng buộc nhập dữ liệu</t>
  </si>
  <si>
    <t>Form Đặt phòng không có dấu * hoặc thông báo bắt buộc nhập cho hai ô “Ngày Vào” và “Ngày Ra”. Người dùng có thể bấm “Tìm Kiếm” mà không nhập gì</t>
  </si>
  <si>
    <t>Thêm dấu * đỏ cho các ô bắt buộc và hiển thị thông báo “Vui lòng chọn ngày vào/ra” khi để trống</t>
  </si>
  <si>
    <t>DatPhong_2</t>
  </si>
  <si>
    <t>Không kiểm tra logic ngày</t>
  </si>
  <si>
    <t>Hệ thống cho phép chọn “Ngày Ra” nhỏ hơn “Ngày Vào”, dẫn đến kết quả tìm phòng sai</t>
  </si>
  <si>
    <t>Thêm ràng buộc: “Ngày Ra” phải lớn hơn “Ngày Vào”. Nếu vi phạm, hiển thị cảnh báo</t>
  </si>
  <si>
    <t>DatPhong_3</t>
  </si>
  <si>
    <t>Thiếu kiểm tra dữ liệu đầu vào</t>
  </si>
  <si>
    <t>Nếu người dùng nhập ký tự chữ hoặc ký tự đặc biệt vào ô ngày, form vẫn nhận mà không báo lỗi</t>
  </si>
  <si>
    <t>Ràng buộc kiểu dữ liệu: chỉ cho phép chọn từ DatePicker hoặc định dạng chuẩn</t>
  </si>
  <si>
    <t>DatPhong_4</t>
  </si>
  <si>
    <t>Thông tin đưa ra không thể hiện được nội dung</t>
  </si>
  <si>
    <t>Việc đưa ra số 34 và nội dung ẩm thực làm khó hiểu cho khách hàng</t>
  </si>
  <si>
    <t>Nên để chú thích hoặc bằngcachs nào đó truyền đatj được ý muốn truyền đạt</t>
  </si>
  <si>
    <t>DatPhong_5</t>
  </si>
  <si>
    <t>Room Management</t>
  </si>
  <si>
    <t>thiếu bảng Room list &amp; form add/edit</t>
  </si>
  <si>
    <t>SRS 7.3.3 yêu cầu bảng với mã phòng, tên, loại, giá, trạng thái + form upload ảnh. File không mô tả.</t>
  </si>
  <si>
    <t>DatPhong_6</t>
  </si>
  <si>
    <t>Reservation Operation</t>
  </si>
  <si>
    <t>Thiếu trang chi tiết phiếu đặt &amp; hành động</t>
  </si>
  <si>
    <t>SRS 7.3.4 yêu cầu check-in, check-out, gọi dịch vụ, đổi phòng. File không mô tả.</t>
  </si>
  <si>
    <t>DatPhong_7</t>
  </si>
  <si>
    <t>Customer Management</t>
  </si>
  <si>
    <t xml:space="preserve">
Thiếu bảng khách hàng &amp; chi tiết</t>
  </si>
  <si>
    <t>SRS 7.3.5 yêu cầu bảng khách, history booking/invoices. File không mô tả.</t>
  </si>
  <si>
    <t>PhanHoi_1</t>
  </si>
  <si>
    <t>Nút “Gửi” khó nhận diện</t>
  </si>
  <si>
    <t>Nút “Gửi” nhỏ, màu gần với nền, dễ bị bỏ qua</t>
  </si>
  <si>
    <t>Tăng kích thước nút và dùng màu tương phản hơn (xanh đậm hoặc cam), thêm hiệu ứng hover để thu hút người dùng</t>
  </si>
  <si>
    <t>PhanHoi_2</t>
  </si>
  <si>
    <t>Lỗi đánh giá sao chưa rõ chức năng</t>
  </si>
  <si>
    <t>5 ngôi sao chỉ hiển thị biểu tượng, chưa có mô tả hay giải thích chi tiết về việc xuất hiện, không có đặc điểm nhận dạng nên sẽ dễ bị bỏ qua</t>
  </si>
  <si>
    <t>Thêm thông tin chi tiết và chỉnh để có thể dễ nhìn hơn</t>
  </si>
  <si>
    <t>Scenario ID</t>
  </si>
  <si>
    <t>Chức năng (Feature)</t>
  </si>
  <si>
    <t>Mô tả Kịch bản (Scenario Description)</t>
  </si>
  <si>
    <t>Mức ưu tiên (Priority)</t>
  </si>
  <si>
    <t>TS_Login_01</t>
  </si>
  <si>
    <t>Đăng nhập</t>
  </si>
  <si>
    <t>Kiểm tra luồng đăng nhập thành công của người dùng với thông tin hợp lệ.</t>
  </si>
  <si>
    <t>High</t>
  </si>
  <si>
    <t>TS_Login_02</t>
  </si>
  <si>
    <t>Kiểm tra các thông báo lỗi khi người dùng đăng nhập với thông tin không hợp lệ.</t>
  </si>
  <si>
    <t>TS_Login_03</t>
  </si>
  <si>
    <t>Kiểm tra hành vi của hệ thống khi người dùng không nhập thông tin.</t>
  </si>
  <si>
    <t>Medium</t>
  </si>
  <si>
    <t>TS_Login_04</t>
  </si>
  <si>
    <t>Kiểm tra thông báo khi username không tồn tại.</t>
  </si>
  <si>
    <t>TS_Login_05</t>
  </si>
  <si>
    <t>Kiểm tra tính tương thích về giao diện của trang đăng nhập trên các trình duyệt khác nhau.</t>
  </si>
  <si>
    <t>Low</t>
  </si>
  <si>
    <t>TS_Login_06</t>
  </si>
  <si>
    <t>Kiểm tra phân quyền theo chức vụ, mỗi chức vụ chỉ được thực hiện một số phương thức tương ứng</t>
  </si>
  <si>
    <t>TS_Register_01</t>
  </si>
  <si>
    <t>Đăng ký</t>
  </si>
  <si>
    <t>Kiểm tra luồng đăng ký thành công của người dùng với thông tin hợp lệ.</t>
  </si>
  <si>
    <t>TS_Register_02</t>
  </si>
  <si>
    <t>Kiểm tra các thông báo lỗi khi người dùng đăng ký với thông tin không hợp lệ.</t>
  </si>
  <si>
    <t>TS_Register_03</t>
  </si>
  <si>
    <t>TS_Register_04</t>
  </si>
  <si>
    <t>TS_Logout_01</t>
  </si>
  <si>
    <t>Đăng xuất</t>
  </si>
  <si>
    <t>Kiểm tra đăng xuất tự động</t>
  </si>
  <si>
    <t>TS_Logout_02</t>
  </si>
  <si>
    <t>Kiểm tra đăng xuất thủ công, phiên kết thúc và chuyển về trang login</t>
  </si>
  <si>
    <t>TS_Role_01</t>
  </si>
  <si>
    <t>Quản lý danh mục (Chức vụ)</t>
  </si>
  <si>
    <t>Tạo chức vụ mới và kiểm tra hiển thị trong danh sách phân quyền.</t>
  </si>
  <si>
    <t>TS_Role_02</t>
  </si>
  <si>
    <t>Sửa tên chức vụ và xác nhận quyền truy cập tương ứng thay đổi.</t>
  </si>
  <si>
    <t>TS_Role_03</t>
  </si>
  <si>
    <t>Xóa chức vụ đang được gán nhân viên → hệ thống ngăn chặn/hiển thị cảnh báo.</t>
  </si>
  <si>
    <t>TS_Room_01</t>
  </si>
  <si>
    <t>Quản lý phòng</t>
  </si>
  <si>
    <t>Tạo phòng mới với đầy đủ thông tin hợp lệ thì lưu thành công.</t>
  </si>
  <si>
    <t>TS_Room_02</t>
  </si>
  <si>
    <t>Tạo phòng thiếu thông tin bắt buộc thì hiển thị lỗi</t>
  </si>
  <si>
    <t>TS_Room_03</t>
  </si>
  <si>
    <t>Sửa thông tin phòng thì dữ liệu phải được thay đổi và hiển thị đúng</t>
  </si>
  <si>
    <t>TS_Room_04</t>
  </si>
  <si>
    <t>Kiểm tra xóa phòng không có ràng buộc phải xóa thành công</t>
  </si>
  <si>
    <t>TS_Room_05</t>
  </si>
  <si>
    <t>Kiểm tra xóa phòng đang có phiếu đặt hoặc hóa đơn thì phải ngăn chặn xóa</t>
  </si>
  <si>
    <t>TS_Room_06</t>
  </si>
  <si>
    <t>Kiểm tra tìm kiếm phòng theo ngày</t>
  </si>
  <si>
    <t>TS_Room_07</t>
  </si>
  <si>
    <t>Kiểm tra chức năng thay đổi trạng thái phòng (Trống/Đã đặt/Đang dọn) và kiểm tra ảnh hưởng đến đặt phòng</t>
  </si>
  <si>
    <t>TS_Customer_01</t>
  </si>
  <si>
    <t>Quản lý khách hàng</t>
  </si>
  <si>
    <t>Tạo khách hàng mới với dữ liệu hợp lệ → lưu thành công.</t>
  </si>
  <si>
    <t>TS_Customer_02</t>
  </si>
  <si>
    <t>Sửa thông tin khách hàng → dữ liệu liên quan (phiếu đặt, hóa đơn) vẫn liên kết.</t>
  </si>
  <si>
    <t>TS_Customer_03</t>
  </si>
  <si>
    <t>Xóa khách hàng có lịch sử đặt phòng → hệ thống ngăn/chuyển trạng thái vô hiệu hóa.</t>
  </si>
  <si>
    <t>TS_Booking_01</t>
  </si>
  <si>
    <t>Đặt phòng</t>
  </si>
  <si>
    <t>Tạo phiếu đặt hợp lệ: chọn khách, phòng trống, ngày hợp lệ thì tạo thành công.</t>
  </si>
  <si>
    <t>TS_Booking_02</t>
  </si>
  <si>
    <t>Đặt phòng trùng ngày cho cùng phòng thì hệ thống ngăn chặn và báo lỗi</t>
  </si>
  <si>
    <t>TS_Booking_03</t>
  </si>
  <si>
    <t>Cập nhật trạng thái phiếu đặt và kiểm tra cập nhật trạng thái phòng</t>
  </si>
  <si>
    <t>TS_Booking_04</t>
  </si>
  <si>
    <t>Hủy phiếu đặt trong thời hạn cho phép thì trạng thái phòng được cập nhật, phòng có trạng thái là trống</t>
  </si>
  <si>
    <t>TS_Service_01</t>
  </si>
  <si>
    <t>Dịch vụ</t>
  </si>
  <si>
    <t>Thêm dịch vụ mới (tên, giá, ảnh sản phẩm) thì lưu thành công.</t>
  </si>
  <si>
    <t>TS_Service_02</t>
  </si>
  <si>
    <t>Sửa/xóa dịch vụ; không cho xóa khi có dịch vụ đã đặt tham chiếu.</t>
  </si>
  <si>
    <t>TS_Service_03</t>
  </si>
  <si>
    <t>Dịch vụ đã đặt</t>
  </si>
  <si>
    <t>Thêm dịch vụ vào phiếu đặt/hóa đơn thì giá dịch vụ được cộng đúng vào tổng tiền.</t>
  </si>
  <si>
    <t>TS_Invoice_01</t>
  </si>
  <si>
    <t>Hóa đơn</t>
  </si>
  <si>
    <t>Tạo hóa đơn từ phiếu đặt: chứa chi tiết phòng và dịch vụ thì lưu thành công.</t>
  </si>
  <si>
    <t>TS_Invoice_02</t>
  </si>
  <si>
    <t>Thực hiện chức năng thanh toán hóa đơn thì trạng thái chuyển thành "Đã thanh toán" và không thể chỉnh các trường khóa.</t>
  </si>
  <si>
    <t>TS_Invoice_03</t>
  </si>
  <si>
    <t>Kiểm tra in/xuất hóa đơn (PDF/Excel) thì file chứa thông tin chính xác.</t>
  </si>
  <si>
    <t>TS_Message_01</t>
  </si>
  <si>
    <t>Tin nhắn/Đánh giá</t>
  </si>
  <si>
    <t>Khách gửi phản hồi → phản hồi được lưu và hiển thị cho quản trị.</t>
  </si>
  <si>
    <t>TS_Message_02</t>
  </si>
  <si>
    <t>Nhân viên trả lời phản hồi và đánh dấu đã xử lý → trạng thái cập nhật.</t>
  </si>
  <si>
    <t>TS_Audit_01</t>
  </si>
  <si>
    <t>Logging/Audit</t>
  </si>
  <si>
    <t>Các hành động quan trọng (xóa, thay đổi trạng thái, tạo hóa đơn) được ghi log đủ thông tin (user, timestamp, action).</t>
  </si>
  <si>
    <t>TS_Perf_01</t>
  </si>
  <si>
    <t>Hiệu năng</t>
  </si>
  <si>
    <t>Danh sách (phòng/khách/hóa đơn) trả về dưới 2s với dataset mô phỏng (N bản ghi).</t>
  </si>
  <si>
    <t>TS_Backup_01</t>
  </si>
  <si>
    <t>Sao lưu/Phục hồi</t>
  </si>
  <si>
    <t>Export dữ liệu → Import lại → dữ liệu khôi phục chính xác.</t>
  </si>
  <si>
    <t>Test Case ID</t>
  </si>
  <si>
    <t>Mô tả Test Case</t>
  </si>
  <si>
    <t>Điều kiện tiên quyết (Pre-conditions)</t>
  </si>
  <si>
    <t>Các bước thực hiện (Test Steps)</t>
  </si>
  <si>
    <t>Dữ liệu kiểm thử (Test Data)</t>
  </si>
  <si>
    <t>Kết quả mong đợi (Expected Result)</t>
  </si>
  <si>
    <t>Kết quả thực tế (Actual Result)</t>
  </si>
  <si>
    <t>Test Priority</t>
  </si>
  <si>
    <t>Status name</t>
  </si>
  <si>
    <t>Status count</t>
  </si>
  <si>
    <t>Test Priority name</t>
  </si>
  <si>
    <t>Test Priority count</t>
  </si>
  <si>
    <t>TC_Register_001</t>
  </si>
  <si>
    <t>Không có</t>
  </si>
  <si>
    <t>1. Mở trình duyệt và truy cập http://localhost:49921/Account/Register
2. Nhập Tên tài khoản
3. Nhập Mật khẩu
4. Nhập Họ tên
5. Nhập Số CCCD
6. Nhập Số ĐT
7. Nhập Email
8. Nhấn nút "Tạo tài khoản"</t>
  </si>
  <si>
    <t>Tên tài khoản: TranMyDuyen
Mật khẩu: 123456
Họ tên: My Đạo Chích
Số CCCD: 091205008888
Số ĐT: 0766939700
Email: myduyen@gmail.com</t>
  </si>
  <si>
    <t>Tự động đăng nhập và chuyển sang Trang chủ. Lưu tài khoản vào cơ sở dữ liệu.</t>
  </si>
  <si>
    <t>Như mong đợi</t>
  </si>
  <si>
    <t xml:space="preserve">Critical </t>
  </si>
  <si>
    <t>TC_Register_002</t>
  </si>
  <si>
    <t>Kiểm tra luồng đăng ký của người dùng với Tên tài khoản trùng</t>
  </si>
  <si>
    <t>Tên tài khoản đã tồn tại trong hệ thống.</t>
  </si>
  <si>
    <t>Tên tài khoản: TranMyDuyen
Mật khẩu: 123457
Họ tên: My Đạo Chích Chòe
Số CCCD: 091205008887
Số ĐT: 0766939701
Email: myduyen2@gmail.com</t>
  </si>
  <si>
    <t>Hệ thống không cho tạo tài khoản mới và thông báo "Tên tài khoản đã được sử dụng !"</t>
  </si>
  <si>
    <t>Fail</t>
  </si>
  <si>
    <t>TC_Register_003</t>
  </si>
  <si>
    <t>Kiểm tra luồng đăng ký của người dùng với Số CCCD trùng</t>
  </si>
  <si>
    <t>Tài khoản có Số CCCD trùng đã tồn tại trong hệ thống.</t>
  </si>
  <si>
    <t>Tên tài khoản: TranMyDuyen2
Mật khẩu: 123456
Họ tên: My Đạo Chích Chòe
Số CCCD: 091205008887
Số ĐT: 0766939701
Email: myduyen2@gmail.com</t>
  </si>
  <si>
    <t>Hệ thống không cho tạo tài khoản mới và thông báo "Số CCCD đã được sử dụng cho một tài khoản khác !"</t>
  </si>
  <si>
    <t>Executed</t>
  </si>
  <si>
    <t>TC_Register_004</t>
  </si>
  <si>
    <t>Kiểm tra luồng đăng ký của người dùng với Số ĐT trùng</t>
  </si>
  <si>
    <t>Tài khoản có Số ĐT trùng đã tồn tại trong hệ thống.</t>
  </si>
  <si>
    <t>Tên tài khoản: TranMyDuyen3
Mật khẩu: 123456
Họ tên: My Đạo Chích Chòe
Số CCCD: 091205008886
Số ĐT: 0766939701
Email: myduyen3@gmail.com</t>
  </si>
  <si>
    <t>Hệ thống không cho tạo tài khoản mới và thông báo "Số ĐT đã được sử dụng cho một tài khoản khác !"</t>
  </si>
  <si>
    <t>Total</t>
  </si>
  <si>
    <t>TC_Register_005</t>
  </si>
  <si>
    <t>Kiểm tra luồng đăng ký của người dùng với Email trùng</t>
  </si>
  <si>
    <t>Tài khoản có Email trùng đã tồn tại trong hệ thống.</t>
  </si>
  <si>
    <t>TC_Register_006</t>
  </si>
  <si>
    <t>Kiểm tra luồng đăng ký của người dùng với ký tự đặc biệt trong Tên tài khoản</t>
  </si>
  <si>
    <t>TC_Register_007</t>
  </si>
  <si>
    <t>Kiểm tra luồng đăng ký của người dùng với ký tự đặc biệt trong Mật khẩu</t>
  </si>
  <si>
    <t>TC_Register_008</t>
  </si>
  <si>
    <t>Kiểm tra luồng đăng ký của người dùng với ký tự đặc biệt trong Số CCCD</t>
  </si>
  <si>
    <t>TC_Register_009</t>
  </si>
  <si>
    <t>Kiểm tra luồng đăng ký của người dùng với ký tự đặc biệt trong Số ĐT</t>
  </si>
  <si>
    <t>TC_Register_010</t>
  </si>
  <si>
    <t>Kiểm tra luồng đăng ký của người dùng với ký tự đặc biệt trong Email</t>
  </si>
  <si>
    <t>TC_Register_011</t>
  </si>
  <si>
    <t>Kiểm tra luồng đăng ký của người dùng với Tên tài khoản bị bỏ trống</t>
  </si>
  <si>
    <t>1. Mở trình duyệt và truy cập http://localhost:49921/Account/Register
2. Bỏ trống Tên tài khoản
3. Nhập Mật khẩu
4. Nhập Họ tên
5. Nhập Số CCCD
6. Nhập Số ĐT
7. Nhập Email
8. Nhấn nút "Tạo tài khoản"</t>
  </si>
  <si>
    <t>TC_Register_012</t>
  </si>
  <si>
    <t>Kiểm tra luồng đăng ký của người dùng với Mật khẩu bị bỏ trống</t>
  </si>
  <si>
    <t>1. Mở trình duyệt và truy cập http://localhost:49921/Account/Register
2. Nhập Tên tài khoản
3. Bỏ trống Mật khẩu
4. Nhập Họ tên
5. Nhập Số CCCD
6. Nhập Số ĐT
7. Nhập Email
8. Nhấn nút "Tạo tài khoản"</t>
  </si>
  <si>
    <t>TC_Register_013</t>
  </si>
  <si>
    <t>Kiểm tra luồng đăng ký của người dùng với Họ tên bị bỏ trống</t>
  </si>
  <si>
    <t>1. Mở trình duyệt và truy cập http://localhost:49921/Account/Register
2. Nhập Tên tài khoản
3. Nhập Mật khẩu
4. Bỏ trống Họ tên
5. Nhập Số CCCD
6. Nhập Số ĐT
7. Nhập Email
8. Nhấn nút "Tạo tài khoản"</t>
  </si>
  <si>
    <t>TC_Register_014</t>
  </si>
  <si>
    <t>Kiểm tra luồng đăng ký của người dùng với Số CCCD bị bỏ trống</t>
  </si>
  <si>
    <t>1. Mở trình duyệt và truy cập http://localhost:49921/Account/Register
2. Nhập Tên tài khoản
3. Nhập Mật khẩu
4. Nhập Họ tên
5. Bỏ trống Số CCCD
6. Nhập Số ĐT
7. Nhập Email
8. Nhấn nút "Tạo tài khoản"</t>
  </si>
  <si>
    <t>TC_Register_015</t>
  </si>
  <si>
    <t>Kiểm tra luồng đăng ký của người dùng với Số ĐT bị bỏ trống</t>
  </si>
  <si>
    <t>1. Mở trình duyệt và truy cập http://localhost:49921/Account/Register
2. Nhập Tên tài khoản
3. Nhập Mật khẩu
4. Nhập Họ tên
5. Nhập Số CCCD
6. Bỏ trống Số ĐT
7. Nhập Email
8. Nhấn nút "Tạo tài khoản"</t>
  </si>
  <si>
    <t>TC_Register_016</t>
  </si>
  <si>
    <t>Kiểm tra luồng đăng ký của người dùng với Email bị bỏ trống</t>
  </si>
  <si>
    <t>1. Mở trình duyệt và truy cập http://localhost:49921/Account/Register
2. Nhập Tên tài khoản
3. Nhập Mật khẩu
4. Nhập Họ tên
5. Nhập Số CCCD
6. Nhập Số ĐT
7. Bỏ trống Email
8. Nhấn nút "Tạo tài khoản"</t>
  </si>
  <si>
    <t>TC_Register_017</t>
  </si>
  <si>
    <t>Kiểm tra luồng đăng ký của người dùng với tất cả trường thông tin bị bỏ trống</t>
  </si>
  <si>
    <t>1. Mở trình duyệt và truy cập http://localhost:49921/Account/Register
2. Bỏ trống Tên tài khoản
3. Bỏ trống Mật khẩu
4. Bỏ trống Họ tên
5. Bỏ trống Số CCCD
6. Bỏ trống Số ĐT
7. Bỏ trống Email
8. Nhấn nút "Tạo tài khoản"</t>
  </si>
  <si>
    <t xml:space="preserve">Tên tài khoản: 
Mật khẩu: 
Họ tên: 
Số CCCD: 
Số ĐT: 
Email: </t>
  </si>
  <si>
    <t>TC_Register_018</t>
  </si>
  <si>
    <t>TC_Register_019</t>
  </si>
  <si>
    <t>TC_Register_020</t>
  </si>
  <si>
    <t>TC_Register_021</t>
  </si>
  <si>
    <t>TC_Register_022</t>
  </si>
  <si>
    <t>TC_Register_023</t>
  </si>
  <si>
    <t>TC_Register_024</t>
  </si>
  <si>
    <t>TC_Register_025</t>
  </si>
  <si>
    <t>TC_Login_001</t>
  </si>
  <si>
    <t>Kiểm tra đăng nhập với tên người dùng và mật khẩu đúng.</t>
  </si>
  <si>
    <t>Tài khoản test user tồn tại trong hệ thống.</t>
  </si>
  <si>
    <t>1. Mở trình duyệt và truy cập http://localhost:49921/Account/Login
2. Nhập username
3. Nhập password
4. Nhấn nút "Đăng nhập"</t>
  </si>
  <si>
    <t>Username: DangQuocHung
Password: 123456</t>
  </si>
  <si>
    <t>Đăng nhập thành công. Hệ thống chuyển hướng sang Trang chủ và hiển thị tên người dùng tại nút "Khách hàng"</t>
  </si>
  <si>
    <t>TC_Login_002</t>
  </si>
  <si>
    <t>Kiểm tra đăng nhập với tên người dùng sai và mật khẩu đúng.</t>
  </si>
  <si>
    <t>Username: DangQuocHung1
Password: 123456</t>
  </si>
  <si>
    <t>Hệ thống báo "Dữ liệu đăng nhập không hợp lệ"</t>
  </si>
  <si>
    <t>TC_Login_003</t>
  </si>
  <si>
    <t>Kiểm tra đăng nhập với tên người dùng đúng và mật khẩu sai.</t>
  </si>
  <si>
    <t>Username: DangQuocHung
Password: 123457</t>
  </si>
  <si>
    <t>TC_Login_004</t>
  </si>
  <si>
    <t>Kiểm tra đăng nhập với tên người dùng sai và mật khẩu sai.</t>
  </si>
  <si>
    <t>Username: DangQuocHung1
Password: 123457</t>
  </si>
  <si>
    <t>TC_Login_005</t>
  </si>
  <si>
    <t>Kiểm tra đăng nhập với tên người dùng có ký tự đặc biệt và mật khẩu đúng</t>
  </si>
  <si>
    <t>Username: DangQuocHung@
Password: 123456</t>
  </si>
  <si>
    <t>TC_Login_006</t>
  </si>
  <si>
    <t>Kiểm tra đăng nhập với tên người dùng đúng và mật khẩu có ký tự đặc biệt</t>
  </si>
  <si>
    <t>Username: DangQuocHung
Password: 123456@</t>
  </si>
  <si>
    <t>TC_Login_007</t>
  </si>
  <si>
    <t>Kiểm tra đăng nhập với ô tên người dùng trống và mật khẩu trống</t>
  </si>
  <si>
    <t>1. Mở trình duyệt và truy cập http://localhost:49921/Account/Login
2. Nhấn nút "Đăng nhập"</t>
  </si>
  <si>
    <t xml:space="preserve">Username: 
Password: </t>
  </si>
  <si>
    <t>TC_Login_008</t>
  </si>
  <si>
    <t>Kiểm tra đăng nhập với ô tên người dùng trống và mật khẩu đúng</t>
  </si>
  <si>
    <t>1. Mở trình duyệt và truy cập http://localhost:49921/Account/Login
2. Nhập password
3. Nhấn nút "Đăng nhập"</t>
  </si>
  <si>
    <t>Username: 
Password: 123456</t>
  </si>
  <si>
    <t>TC_Login_009</t>
  </si>
  <si>
    <t>Kiểm tra đăng nhập với ô tên người dùng đúng và mật khẩu trống</t>
  </si>
  <si>
    <t>1. Mở trình duyệt và truy cập http://localhost:49921/Account/Login
2. Nhập username
3. Nhấn nút "Đăng nhập"</t>
  </si>
  <si>
    <t xml:space="preserve">Username: DangQuocHung
Password: </t>
  </si>
  <si>
    <t>TC_Login_010</t>
  </si>
  <si>
    <t>Kiểm tra đăng nhập với tên người dùng không tồn tại trong hệ thống và mật khẩu có tồn tại trong hệ thống</t>
  </si>
  <si>
    <t>Username: TranMyDuyen
Password: 123456</t>
  </si>
  <si>
    <t>TC_Login_011</t>
  </si>
  <si>
    <t>Kiểm tra tính tương thích về giao diện của trang đăng nhập trên trình duyệt Google Chrome.</t>
  </si>
  <si>
    <t>1. Mở trình duyệt và truy cập http://localhost:49921/Account/Login
2. Kiểm tra giao diện</t>
  </si>
  <si>
    <t>Hiển thị các trường thông tin rõ ràng, form đăng nhập được hiển thị giữa màn hình, không bị lỗi font chữ</t>
  </si>
  <si>
    <t>TC_Login_012</t>
  </si>
  <si>
    <t>Kiểm tra tính tương thích về giao diện của trang đăng nhập trên trình duyệt Microsoft Edge.</t>
  </si>
  <si>
    <t>TC_Login_013</t>
  </si>
  <si>
    <t>Kiểm tra phân quyền trang Đăng nhập trên chức vụ Khách hàng</t>
  </si>
  <si>
    <t>Tài khoản khách hàng đã tồn tại trong hệ thống.</t>
  </si>
  <si>
    <t>TC_Login_014</t>
  </si>
  <si>
    <t>Kiểm tra phân quyền trang Đăng nhập của Admin trên chức vụ Admin</t>
  </si>
  <si>
    <t>Tài khoản admin đã tồn tại trong hệ thống.</t>
  </si>
  <si>
    <t>1. Mở trình duyệt và truy cập http://localhost:49921/Admin/Index/Login
2. Nhập username
3. Nhập password
4. Nhấn nút "Đăng nhập"</t>
  </si>
  <si>
    <t>Username: admin
Password: admin123</t>
  </si>
  <si>
    <t>Đăng nhập thành công. Hệ thống chuyển hướng sang Trang Dashboard của admin và hiển thị tên của tài khoản Admin</t>
  </si>
  <si>
    <t>TC_Login_015</t>
  </si>
  <si>
    <t>TC_Login_016</t>
  </si>
  <si>
    <t>TC_Login_017</t>
  </si>
  <si>
    <t>TC_Login_018</t>
  </si>
  <si>
    <t>Bug ID</t>
  </si>
  <si>
    <t>Tiêu đề Lỗi (Bug Title)</t>
  </si>
  <si>
    <t>Mức độ nghiêm trọng (Severity)</t>
  </si>
  <si>
    <t>Mức ưu tiên sửa (Priority)</t>
  </si>
  <si>
    <t>Người báo cáo</t>
  </si>
  <si>
    <t>Người sửa</t>
  </si>
  <si>
    <t>Môi trường</t>
  </si>
  <si>
    <t>Các bước tái hiện (Steps to Reproduce)</t>
  </si>
  <si>
    <t>Kết quả thực tế</t>
  </si>
  <si>
    <t>Kết quả mong đợi</t>
  </si>
  <si>
    <t>Đính kèm</t>
  </si>
  <si>
    <t>TC_Booking_001</t>
  </si>
  <si>
    <t>TC_Booking_002</t>
  </si>
  <si>
    <t>TC_Booking_003</t>
  </si>
  <si>
    <t>TC_Booking_004</t>
  </si>
  <si>
    <t>TC_Booking_005</t>
  </si>
  <si>
    <t>TC_Booking_006</t>
  </si>
  <si>
    <t>TC_Booking_007</t>
  </si>
  <si>
    <t>TC_Booking_008</t>
  </si>
  <si>
    <t>TC_Booking_009</t>
  </si>
  <si>
    <t>TC_Booking_010</t>
  </si>
  <si>
    <t>TC_Booking_011</t>
  </si>
  <si>
    <t>TC_Booking_012</t>
  </si>
  <si>
    <t>TC_Booking_013</t>
  </si>
  <si>
    <t>TC_Booking_014</t>
  </si>
  <si>
    <t>TC_Booking_015</t>
  </si>
  <si>
    <t>TC_Booking_016</t>
  </si>
  <si>
    <t>TC_Booking_017</t>
  </si>
  <si>
    <t>TC_Booking_018</t>
  </si>
  <si>
    <t>TC_Booking_019</t>
  </si>
  <si>
    <t>TC_Booking_020</t>
  </si>
  <si>
    <t>Đặt phòng với Ngày ra lớn hơn ngày vào 1 ngày</t>
  </si>
  <si>
    <t>Thiếu ảnh minh họa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</si>
</sst>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rial"/>
      <family val="2"/>
      <scheme val="minor"/>
    </font>
    <font>
      <sz val="11"/>
      <color rgb="FF006100"/>
      <name val="Arial"/>
      <family val="2"/>
      <scheme val="minor"/>
    </font>
    <font>
      <sz val="13"/>
      <color rgb="FF006100"/>
      <name val="Times New Roman"/>
      <family val="1"/>
    </font>
    <font>
      <sz val="13"/>
      <color theme="1"/>
      <name val="Times New Roman"/>
      <family val="1"/>
    </font>
    <font>
      <sz val="13"/>
      <color rgb="FF006100"/>
      <name val="Times New Roman"/>
    </font>
    <font>
      <sz val="13"/>
      <color theme="1"/>
      <name val="Times New Roman"/>
    </font>
    <font>
      <sz val="10"/>
      <color theme="1"/>
      <name val="Arial"/>
    </font>
    <font>
      <b/>
      <sz val="10"/>
      <color theme="1"/>
      <name val="Times New Roman"/>
      <family val="1"/>
    </font>
    <font>
      <b/>
      <sz val="9"/>
      <color rgb="FF1F1F1F"/>
      <name val="Times New Roman"/>
      <family val="1"/>
    </font>
    <font>
      <sz val="10"/>
      <color theme="1"/>
      <name val="Arial"/>
      <family val="2"/>
    </font>
    <font>
      <b/>
      <sz val="13"/>
      <color theme="1"/>
      <name val="Times New Roman"/>
    </font>
    <font>
      <sz val="8"/>
      <name val="Arial"/>
      <family val="2"/>
      <scheme val="minor"/>
    </font>
    <font>
      <sz val="13"/>
      <color theme="1"/>
      <name val="Times New Roman"/>
      <family val="1"/>
      <charset val="163"/>
      <scheme val="major"/>
    </font>
    <font>
      <sz val="13"/>
      <color theme="1"/>
      <name val="Times New Roman"/>
      <family val="1"/>
      <charset val="163"/>
    </font>
    <font>
      <sz val="11"/>
      <color rgb="FF9C0006"/>
      <name val="Arial"/>
      <family val="2"/>
      <scheme val="minor"/>
    </font>
    <font>
      <sz val="11"/>
      <color rgb="FF9C5700"/>
      <name val="Arial"/>
      <family val="2"/>
      <scheme val="minor"/>
    </font>
    <font>
      <sz val="13"/>
      <color rgb="FF000000"/>
      <name val="Times New Roman"/>
    </font>
  </fonts>
  <fills count="8">
    <fill>
      <patternFill patternType="none"/>
    </fill>
    <fill>
      <patternFill patternType="gray125"/>
    </fill>
    <fill>
      <patternFill patternType="solid">
        <fgColor rgb="FFC6EFCE"/>
      </patternFill>
    </fill>
    <fill>
      <patternFill patternType="solid">
        <fgColor rgb="FFFFFFFF"/>
        <bgColor rgb="FFFFFFFF"/>
      </patternFill>
    </fill>
    <fill>
      <patternFill patternType="solid">
        <fgColor theme="8" tint="0.79998168889431442"/>
        <bgColor indexed="64"/>
      </patternFill>
    </fill>
    <fill>
      <patternFill patternType="solid">
        <fgColor rgb="FFFFEFFF"/>
        <bgColor indexed="64"/>
      </patternFill>
    </fill>
    <fill>
      <patternFill patternType="solid">
        <fgColor rgb="FFFFC7CE"/>
      </patternFill>
    </fill>
    <fill>
      <patternFill patternType="solid">
        <fgColor rgb="FFFFEB9C"/>
      </patternFill>
    </fill>
  </fills>
  <borders count="25">
    <border>
      <left/>
      <right/>
      <top/>
      <bottom/>
      <diagonal/>
    </border>
    <border>
      <left style="thin">
        <color rgb="FF7F7F7F"/>
      </left>
      <right style="thin">
        <color rgb="FF7F7F7F"/>
      </right>
      <top style="thin">
        <color rgb="FF7F7F7F"/>
      </top>
      <bottom style="thin">
        <color rgb="FF7F7F7F"/>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
      <left style="thin">
        <color rgb="FF284E3F"/>
      </left>
      <right style="thin">
        <color rgb="FFFFFFFF"/>
      </right>
      <top style="thin">
        <color rgb="FFFFFFFF"/>
      </top>
      <bottom style="thin">
        <color rgb="FFFFFFFF"/>
      </bottom>
      <diagonal/>
    </border>
    <border>
      <left/>
      <right style="medium">
        <color rgb="FFCCCCCC"/>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diagonal/>
    </border>
    <border>
      <left style="thin">
        <color theme="2"/>
      </left>
      <right style="thin">
        <color theme="2"/>
      </right>
      <top style="thin">
        <color theme="2"/>
      </top>
      <bottom style="thin">
        <color theme="2"/>
      </bottom>
      <diagonal/>
    </border>
    <border>
      <left style="thin">
        <color theme="2"/>
      </left>
      <right/>
      <top style="thin">
        <color theme="2"/>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4">
    <xf numFmtId="0" fontId="0" fillId="0" borderId="0"/>
    <xf numFmtId="0" fontId="1" fillId="2" borderId="0" applyNumberFormat="0" applyBorder="0" applyAlignment="0" applyProtection="0"/>
    <xf numFmtId="0" fontId="14" fillId="6" borderId="0" applyNumberFormat="0" applyBorder="0" applyAlignment="0" applyProtection="0"/>
    <xf numFmtId="0" fontId="15" fillId="7" borderId="0" applyNumberFormat="0" applyBorder="0" applyAlignment="0" applyProtection="0"/>
  </cellStyleXfs>
  <cellXfs count="103">
    <xf numFmtId="0" fontId="0" fillId="0" borderId="0" xfId="0"/>
    <xf numFmtId="0" fontId="3" fillId="0" borderId="0" xfId="0" applyFont="1" applyAlignment="1">
      <alignment horizontal="center"/>
    </xf>
    <xf numFmtId="0" fontId="2" fillId="2" borderId="1" xfId="1" applyFont="1" applyBorder="1" applyAlignment="1">
      <alignment horizontal="center"/>
    </xf>
    <xf numFmtId="14" fontId="3" fillId="0" borderId="0" xfId="0" applyNumberFormat="1" applyFont="1" applyAlignment="1">
      <alignment horizontal="center"/>
    </xf>
    <xf numFmtId="0" fontId="5" fillId="0" borderId="0" xfId="0" applyFont="1"/>
    <xf numFmtId="0" fontId="6" fillId="0" borderId="6" xfId="0" applyFont="1" applyBorder="1" applyAlignment="1">
      <alignment wrapText="1"/>
    </xf>
    <xf numFmtId="0" fontId="5" fillId="0" borderId="6" xfId="0" applyFont="1" applyBorder="1" applyAlignment="1">
      <alignment wrapText="1"/>
    </xf>
    <xf numFmtId="0" fontId="5" fillId="0" borderId="0" xfId="0" applyFont="1" applyAlignment="1">
      <alignment horizontal="center" vertical="center"/>
    </xf>
    <xf numFmtId="0" fontId="1" fillId="2" borderId="11" xfId="1" applyBorder="1" applyAlignment="1">
      <alignment horizontal="center" vertical="center" wrapText="1"/>
    </xf>
    <xf numFmtId="0" fontId="1" fillId="2" borderId="12" xfId="1" applyBorder="1" applyAlignment="1">
      <alignment horizontal="center" vertical="center" wrapText="1"/>
    </xf>
    <xf numFmtId="0" fontId="1" fillId="2" borderId="13" xfId="1" applyBorder="1" applyAlignment="1">
      <alignment horizontal="center" vertical="center" wrapText="1"/>
    </xf>
    <xf numFmtId="0" fontId="6" fillId="0" borderId="6"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left"/>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6" xfId="0" applyFont="1" applyBorder="1" applyAlignment="1">
      <alignment horizontal="left" vertical="top" wrapText="1"/>
    </xf>
    <xf numFmtId="0" fontId="5" fillId="0" borderId="9" xfId="0" applyFont="1" applyBorder="1" applyAlignment="1">
      <alignment horizontal="left" vertical="top" wrapText="1"/>
    </xf>
    <xf numFmtId="0" fontId="10" fillId="0" borderId="0" xfId="0" applyFont="1" applyAlignment="1">
      <alignment vertical="center"/>
    </xf>
    <xf numFmtId="0" fontId="5" fillId="0" borderId="0" xfId="0" applyFont="1" applyAlignment="1">
      <alignment horizontal="left" vertical="center" indent="1"/>
    </xf>
    <xf numFmtId="0" fontId="10" fillId="0" borderId="0" xfId="0" applyFont="1" applyAlignment="1">
      <alignment horizontal="left" vertical="center" indent="1"/>
    </xf>
    <xf numFmtId="0" fontId="10" fillId="0" borderId="0" xfId="0" applyFont="1"/>
    <xf numFmtId="0" fontId="5" fillId="0" borderId="0" xfId="0" applyFont="1" applyAlignment="1">
      <alignment horizontal="left" vertical="center" indent="2"/>
    </xf>
    <xf numFmtId="0" fontId="10" fillId="0" borderId="0" xfId="0" applyFont="1" applyAlignment="1">
      <alignment horizontal="left" vertical="center" indent="2"/>
    </xf>
    <xf numFmtId="0" fontId="4" fillId="2" borderId="3" xfId="1" applyFont="1" applyBorder="1" applyAlignment="1">
      <alignment horizontal="center" vertical="center" wrapText="1"/>
    </xf>
    <xf numFmtId="0" fontId="4" fillId="2" borderId="3" xfId="1" applyFont="1" applyBorder="1" applyAlignment="1">
      <alignment horizontal="center" vertical="center"/>
    </xf>
    <xf numFmtId="0" fontId="5" fillId="0" borderId="6" xfId="0" applyFont="1" applyBorder="1" applyAlignment="1">
      <alignment horizontal="left" wrapText="1"/>
    </xf>
    <xf numFmtId="0" fontId="5" fillId="0" borderId="6" xfId="0" applyFont="1" applyBorder="1" applyAlignment="1">
      <alignment horizontal="left"/>
    </xf>
    <xf numFmtId="0" fontId="5" fillId="0" borderId="0" xfId="0" applyFont="1" applyAlignment="1">
      <alignment horizontal="left"/>
    </xf>
    <xf numFmtId="0" fontId="9" fillId="0" borderId="0" xfId="0" applyFont="1" applyAlignment="1">
      <alignment wrapText="1"/>
    </xf>
    <xf numFmtId="0" fontId="9" fillId="0" borderId="0" xfId="0" applyFont="1" applyAlignment="1">
      <alignment vertical="center"/>
    </xf>
    <xf numFmtId="0" fontId="4" fillId="2" borderId="17" xfId="1" applyFont="1" applyBorder="1" applyAlignment="1">
      <alignment horizontal="center" vertical="center" wrapText="1"/>
    </xf>
    <xf numFmtId="0" fontId="5" fillId="0" borderId="17" xfId="0" applyFont="1" applyBorder="1" applyAlignment="1">
      <alignment horizontal="center" vertical="center"/>
    </xf>
    <xf numFmtId="0" fontId="5" fillId="0" borderId="17" xfId="0" applyFont="1" applyBorder="1" applyAlignment="1">
      <alignment horizontal="left" vertical="center"/>
    </xf>
    <xf numFmtId="0" fontId="5" fillId="0" borderId="17" xfId="0" applyFont="1" applyBorder="1" applyAlignment="1">
      <alignment horizontal="left" vertical="center" wrapText="1"/>
    </xf>
    <xf numFmtId="0" fontId="5" fillId="4" borderId="17" xfId="0" applyFont="1" applyFill="1" applyBorder="1" applyAlignment="1">
      <alignment horizontal="center" vertical="center"/>
    </xf>
    <xf numFmtId="0" fontId="5" fillId="4" borderId="17" xfId="0" applyFont="1" applyFill="1" applyBorder="1" applyAlignment="1">
      <alignment horizontal="left" vertical="center"/>
    </xf>
    <xf numFmtId="0" fontId="5" fillId="0" borderId="18" xfId="0" applyFont="1" applyBorder="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3" fillId="0" borderId="9" xfId="0" applyFont="1" applyBorder="1" applyAlignment="1">
      <alignment horizontal="center" vertical="center" wrapText="1"/>
    </xf>
    <xf numFmtId="0" fontId="13" fillId="0" borderId="6" xfId="0" applyFont="1" applyBorder="1" applyAlignment="1">
      <alignment horizontal="left" vertical="top" wrapText="1"/>
    </xf>
    <xf numFmtId="0" fontId="13" fillId="0" borderId="7" xfId="0" applyFont="1" applyBorder="1" applyAlignment="1">
      <alignment horizontal="center" vertical="center" wrapText="1"/>
    </xf>
    <xf numFmtId="0" fontId="13" fillId="0" borderId="18" xfId="0" applyFont="1" applyBorder="1" applyAlignment="1">
      <alignment horizontal="center" vertical="center" wrapText="1"/>
    </xf>
    <xf numFmtId="0" fontId="0" fillId="0" borderId="0" xfId="0" applyAlignment="1">
      <alignment wrapText="1"/>
    </xf>
    <xf numFmtId="0" fontId="13" fillId="0" borderId="9" xfId="0" applyFont="1" applyBorder="1" applyAlignment="1">
      <alignment horizontal="left" vertical="top" wrapText="1"/>
    </xf>
    <xf numFmtId="0" fontId="13" fillId="0" borderId="10" xfId="0" applyFont="1" applyBorder="1" applyAlignment="1">
      <alignment horizontal="center" vertical="center" wrapText="1"/>
    </xf>
    <xf numFmtId="0" fontId="13" fillId="0" borderId="0" xfId="0" applyFont="1"/>
    <xf numFmtId="0" fontId="5" fillId="4" borderId="9" xfId="0" applyFont="1" applyFill="1" applyBorder="1" applyAlignment="1">
      <alignment horizontal="center" vertical="center" wrapText="1"/>
    </xf>
    <xf numFmtId="0" fontId="5" fillId="4" borderId="6" xfId="0" applyFont="1" applyFill="1" applyBorder="1" applyAlignment="1">
      <alignment horizontal="left" vertical="top" wrapText="1"/>
    </xf>
    <xf numFmtId="0" fontId="5" fillId="4" borderId="7" xfId="0" applyFont="1" applyFill="1" applyBorder="1" applyAlignment="1">
      <alignment horizontal="center" vertical="center" wrapText="1"/>
    </xf>
    <xf numFmtId="0" fontId="7" fillId="3" borderId="14" xfId="0" applyFont="1" applyFill="1" applyBorder="1" applyAlignment="1">
      <alignment wrapText="1"/>
    </xf>
    <xf numFmtId="0" fontId="7" fillId="0" borderId="14" xfId="0" applyFont="1" applyBorder="1" applyAlignment="1">
      <alignment wrapText="1"/>
    </xf>
    <xf numFmtId="0" fontId="5" fillId="0" borderId="0" xfId="0" applyFont="1" applyAlignment="1">
      <alignment horizontal="center"/>
    </xf>
    <xf numFmtId="0" fontId="5" fillId="0" borderId="5" xfId="0" applyFont="1" applyBorder="1"/>
    <xf numFmtId="0" fontId="5" fillId="0" borderId="8" xfId="0" applyFont="1" applyBorder="1" applyAlignment="1">
      <alignment vertical="center"/>
    </xf>
    <xf numFmtId="0" fontId="4" fillId="2" borderId="2" xfId="1" applyFont="1" applyBorder="1" applyAlignment="1">
      <alignment horizontal="center" wrapText="1"/>
    </xf>
    <xf numFmtId="0" fontId="13" fillId="0" borderId="8" xfId="0" applyFont="1" applyBorder="1" applyAlignment="1">
      <alignment vertical="center" wrapText="1"/>
    </xf>
    <xf numFmtId="0" fontId="5" fillId="4" borderId="8" xfId="0" applyFont="1" applyFill="1" applyBorder="1" applyAlignment="1">
      <alignment vertical="center" wrapText="1"/>
    </xf>
    <xf numFmtId="0" fontId="13" fillId="0" borderId="16" xfId="0" applyFont="1" applyBorder="1" applyAlignment="1">
      <alignment vertical="center" wrapText="1"/>
    </xf>
    <xf numFmtId="0" fontId="5" fillId="0" borderId="16" xfId="0" applyFont="1" applyBorder="1" applyAlignment="1">
      <alignment vertical="center" wrapText="1"/>
    </xf>
    <xf numFmtId="0" fontId="4" fillId="2" borderId="3" xfId="1" applyFont="1" applyBorder="1" applyAlignment="1">
      <alignment horizontal="center" wrapText="1"/>
    </xf>
    <xf numFmtId="0" fontId="4" fillId="2" borderId="4" xfId="1" applyFont="1" applyBorder="1" applyAlignment="1">
      <alignment horizontal="center" vertical="center"/>
    </xf>
    <xf numFmtId="0" fontId="5" fillId="5" borderId="5" xfId="0" applyFont="1" applyFill="1" applyBorder="1" applyAlignment="1">
      <alignment vertical="center"/>
    </xf>
    <xf numFmtId="0" fontId="5" fillId="5" borderId="6" xfId="0" applyFont="1" applyFill="1" applyBorder="1" applyAlignment="1">
      <alignment horizontal="center" vertical="center" wrapText="1"/>
    </xf>
    <xf numFmtId="0" fontId="5" fillId="5" borderId="6" xfId="0" applyFont="1" applyFill="1" applyBorder="1" applyAlignment="1">
      <alignment horizontal="left" vertical="top" wrapText="1"/>
    </xf>
    <xf numFmtId="0" fontId="5" fillId="5" borderId="7" xfId="0" applyFont="1" applyFill="1" applyBorder="1" applyAlignment="1">
      <alignment horizontal="center" vertical="center" wrapText="1"/>
    </xf>
    <xf numFmtId="0" fontId="5" fillId="5" borderId="8" xfId="0" applyFont="1" applyFill="1" applyBorder="1" applyAlignment="1">
      <alignment vertical="center"/>
    </xf>
    <xf numFmtId="0" fontId="5" fillId="5" borderId="9" xfId="0" applyFont="1" applyFill="1" applyBorder="1" applyAlignment="1">
      <alignment horizontal="center" vertical="center" wrapText="1"/>
    </xf>
    <xf numFmtId="0" fontId="5" fillId="5" borderId="9" xfId="0" applyFont="1" applyFill="1" applyBorder="1" applyAlignment="1">
      <alignment horizontal="left" vertical="top" wrapText="1"/>
    </xf>
    <xf numFmtId="0" fontId="5" fillId="5" borderId="10" xfId="0" applyFont="1" applyFill="1" applyBorder="1" applyAlignment="1">
      <alignment horizontal="center" vertical="center" wrapText="1"/>
    </xf>
    <xf numFmtId="0" fontId="13" fillId="5" borderId="6" xfId="0" applyFont="1" applyFill="1" applyBorder="1" applyAlignment="1">
      <alignment horizontal="left" vertical="top" wrapText="1"/>
    </xf>
    <xf numFmtId="0" fontId="13" fillId="5" borderId="7" xfId="0" applyFont="1" applyFill="1" applyBorder="1" applyAlignment="1">
      <alignment horizontal="center" vertical="center" wrapText="1"/>
    </xf>
    <xf numFmtId="0" fontId="8" fillId="3" borderId="15" xfId="0" applyFont="1" applyFill="1" applyBorder="1"/>
    <xf numFmtId="0" fontId="5" fillId="0" borderId="8" xfId="0" applyFont="1" applyBorder="1"/>
    <xf numFmtId="0" fontId="5" fillId="0" borderId="9" xfId="0" applyFont="1" applyBorder="1" applyAlignment="1">
      <alignment wrapText="1"/>
    </xf>
    <xf numFmtId="0" fontId="3" fillId="0" borderId="0" xfId="0" applyFont="1"/>
    <xf numFmtId="0" fontId="1" fillId="2" borderId="0" xfId="1" applyAlignment="1">
      <alignment wrapText="1"/>
    </xf>
    <xf numFmtId="0" fontId="15" fillId="7" borderId="0" xfId="3" applyAlignment="1">
      <alignment wrapText="1"/>
    </xf>
    <xf numFmtId="0" fontId="14" fillId="6" borderId="0" xfId="2" applyAlignment="1">
      <alignment horizontal="center" vertical="center"/>
    </xf>
    <xf numFmtId="0" fontId="5" fillId="0" borderId="7" xfId="0" applyFont="1" applyBorder="1" applyAlignment="1">
      <alignment wrapText="1"/>
    </xf>
    <xf numFmtId="0" fontId="5" fillId="0" borderId="8" xfId="0" applyFont="1" applyBorder="1" applyAlignment="1">
      <alignment wrapText="1"/>
    </xf>
    <xf numFmtId="0" fontId="5" fillId="0" borderId="0" xfId="0" applyFont="1" applyAlignment="1">
      <alignment wrapText="1"/>
    </xf>
    <xf numFmtId="0" fontId="6" fillId="0" borderId="5" xfId="0" applyFont="1" applyBorder="1" applyAlignment="1">
      <alignment wrapText="1"/>
    </xf>
    <xf numFmtId="0" fontId="5" fillId="0" borderId="3" xfId="0" applyFont="1" applyBorder="1" applyAlignment="1">
      <alignment wrapText="1"/>
    </xf>
    <xf numFmtId="0" fontId="5" fillId="0" borderId="16" xfId="0" applyFont="1" applyBorder="1"/>
    <xf numFmtId="0" fontId="5" fillId="0" borderId="4" xfId="0" applyFont="1" applyBorder="1" applyAlignment="1">
      <alignment wrapText="1"/>
    </xf>
    <xf numFmtId="0" fontId="5" fillId="0" borderId="20" xfId="0" applyFont="1" applyBorder="1" applyAlignment="1">
      <alignment wrapText="1"/>
    </xf>
    <xf numFmtId="0" fontId="5" fillId="0" borderId="19" xfId="0" applyFont="1" applyBorder="1" applyAlignment="1">
      <alignment wrapText="1"/>
    </xf>
    <xf numFmtId="0" fontId="4" fillId="2" borderId="14" xfId="1" applyFont="1" applyBorder="1" applyAlignment="1">
      <alignment horizontal="center" vertical="center"/>
    </xf>
    <xf numFmtId="0" fontId="5" fillId="0" borderId="14" xfId="0" applyFont="1" applyBorder="1" applyAlignment="1">
      <alignment horizontal="center" vertical="center"/>
    </xf>
    <xf numFmtId="0" fontId="5" fillId="0" borderId="14" xfId="0" applyFont="1" applyBorder="1" applyAlignment="1">
      <alignment horizontal="center" vertical="center" wrapText="1"/>
    </xf>
    <xf numFmtId="0" fontId="16" fillId="0" borderId="14" xfId="0" applyFont="1" applyBorder="1" applyAlignment="1">
      <alignment horizontal="center" vertical="center" wrapText="1"/>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wrapText="1"/>
    </xf>
    <xf numFmtId="0" fontId="5" fillId="0" borderId="24"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0" xfId="0" applyFont="1" applyAlignment="1">
      <alignment wrapText="1"/>
    </xf>
    <xf numFmtId="0" fontId="13" fillId="0" borderId="6" xfId="0" applyFont="1" applyBorder="1" applyAlignment="1">
      <alignment wrapText="1"/>
    </xf>
  </cellXfs>
  <cellStyles count="4">
    <cellStyle name="Bình thường" xfId="0" builtinId="0"/>
    <cellStyle name="Tốt" xfId="1" builtinId="26"/>
    <cellStyle name="Trung lập" xfId="3" builtinId="28"/>
    <cellStyle name="Xấu" xfId="2" builtinId="27"/>
  </cellStyles>
  <dxfs count="87">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border outline="0">
        <top style="medium">
          <color rgb="FFCCCCCC"/>
        </top>
      </border>
    </dxf>
    <dxf>
      <font>
        <sz val="13"/>
        <name val="Times New Roman"/>
      </font>
      <alignment horizontal="left"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left"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outline="0">
        <left/>
        <right style="medium">
          <color rgb="FFCCCCCC"/>
        </right>
        <top style="medium">
          <color rgb="FFCCCCCC"/>
        </top>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sz val="13"/>
        <name val="Times New Roman"/>
      </font>
      <alignment horizontal="center" vertical="center"/>
    </dxf>
    <dxf>
      <border outline="0">
        <bottom style="medium">
          <color rgb="FFCCCCCC"/>
        </bottom>
      </border>
    </dxf>
    <dxf>
      <font>
        <sz val="13"/>
        <name val="Times New Roman"/>
      </font>
      <alignment horizontal="center"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FFEFFF"/>
      <color rgb="FFFAD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9E977B-AA41-4B04-80CB-386E8F145787}" name="Table3" displayName="Table3" ref="A1:D43" totalsRowShown="0" headerRowDxfId="86" dataDxfId="84" headerRowBorderDxfId="85" tableBorderDxfId="83" totalsRowBorderDxfId="82">
  <autoFilter ref="A1:D43" xr:uid="{B89E977B-AA41-4B04-80CB-386E8F145787}"/>
  <tableColumns count="4">
    <tableColumn id="1" xr3:uid="{36DA41B5-64A7-474E-9D61-0AC13FBECD30}" name="Scenario ID" dataDxfId="81"/>
    <tableColumn id="2" xr3:uid="{CD370DF9-6663-4714-ACBC-DC8E6D2ECED9}" name="Chức năng (Feature)" dataDxfId="80"/>
    <tableColumn id="3" xr3:uid="{D85E1FBE-FE40-49CD-B874-D62EAE5D753D}" name="Mô tả Kịch bản (Scenario Description)" dataDxfId="79"/>
    <tableColumn id="4" xr3:uid="{7D546889-A982-4E1A-A9A8-00CA27FCFA1C}" name="Mức ưu tiên (Priority)" dataDxfId="78"/>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F9F197-13AF-4921-A314-D16D78AE9125}" name="Table49123" displayName="Table49123" ref="A1:J1048576" totalsRowShown="0" headerRowDxfId="77" dataDxfId="75" headerRowBorderDxfId="76" tableBorderDxfId="74">
  <autoFilter ref="A1:J1048576" xr:uid="{B3F9F197-13AF-4921-A314-D16D78AE9125}"/>
  <tableColumns count="10">
    <tableColumn id="1" xr3:uid="{4D26FE7A-6E64-4632-8BB8-3E876E0B237B}" name="Test Case ID" dataDxfId="73"/>
    <tableColumn id="2" xr3:uid="{E120ED4B-C20F-47D0-A21E-A16762E0A31C}" name="Scenario ID" dataDxfId="72"/>
    <tableColumn id="3" xr3:uid="{30E9D9CA-65F0-43D9-A530-D8FF29A2275F}" name="Mô tả Test Case" dataDxfId="71"/>
    <tableColumn id="4" xr3:uid="{A6A08A44-0370-4355-8D33-B3A0C381D154}" name="Điều kiện tiên quyết (Pre-conditions)" dataDxfId="70"/>
    <tableColumn id="5" xr3:uid="{253FDDCB-6C10-4963-8697-00AF9554D5E4}" name="Các bước thực hiện (Test Steps)" dataDxfId="69"/>
    <tableColumn id="6" xr3:uid="{D86B8AA2-2D6A-45FE-9663-5BE9923FCCCA}" name="Dữ liệu kiểm thử (Test Data)" dataDxfId="68"/>
    <tableColumn id="7" xr3:uid="{24A8CF32-0552-4714-89A6-4F52E03CDB16}" name="Kết quả mong đợi (Expected Result)" dataDxfId="67"/>
    <tableColumn id="8" xr3:uid="{C59F7A97-DBD5-48F4-B26A-7A808C04E8A9}" name="Kết quả thực tế (Actual Result)" dataDxfId="66"/>
    <tableColumn id="9" xr3:uid="{CA1A4F95-4F55-40C2-8063-B3B95AF63B9F}" name="Trạng thái (Status)" dataDxfId="65"/>
    <tableColumn id="10" xr3:uid="{A98E26BE-5A9F-4449-A581-1C08A0149BC9}" name="Test Priority" dataDxfId="64"/>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6CF80D-F784-4986-9C7E-107227B106E0}" name="GD_10134" displayName="GD_10134" ref="L1:O5" headerRowDxfId="63" dataDxfId="62" totalsRowDxfId="61">
  <tableColumns count="4">
    <tableColumn id="1" xr3:uid="{25B55D8C-3F85-4A38-802E-758054E25DCD}" name="Status name" dataDxfId="60"/>
    <tableColumn id="2" xr3:uid="{6923AE5A-F888-455A-9C9B-37F2A1B7ED1E}" name="Status count" dataDxfId="59"/>
    <tableColumn id="3" xr3:uid="{54DC5DEA-485C-4ADD-9DC2-F46C501CFE65}" name="Test Priority name" dataDxfId="58"/>
    <tableColumn id="4" xr3:uid="{A041EDCE-C528-4627-B768-FA4A7F599518}" name="Test Priority count" dataDxfId="57"/>
  </tableColumns>
  <tableStyleInfo name="TableStyleLight1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C729A67-E766-478E-8B84-4CD3A3FB012E}" name="Table49" displayName="Table49" ref="A1:J1048576" totalsRowShown="0" headerRowDxfId="56" dataDxfId="54" headerRowBorderDxfId="55">
  <autoFilter ref="A1:J1048576" xr:uid="{CC729A67-E766-478E-8B84-4CD3A3FB012E}"/>
  <tableColumns count="10">
    <tableColumn id="1" xr3:uid="{FD0EB90F-C383-49FA-872D-E92D1F30603A}" name="Test Case ID" dataDxfId="53"/>
    <tableColumn id="2" xr3:uid="{45CBF581-5E80-494C-BE7F-B1517F251770}" name="Scenario ID" dataDxfId="52"/>
    <tableColumn id="3" xr3:uid="{A2466CC4-F3A1-4A7D-A148-B148E4023305}" name="Mô tả Test Case" dataDxfId="51"/>
    <tableColumn id="4" xr3:uid="{72C35462-A6D6-4396-BB18-27FCA57DA3AF}" name="Điều kiện tiên quyết (Pre-conditions)" dataDxfId="50"/>
    <tableColumn id="5" xr3:uid="{B6C6A6CB-0EE1-4E4C-A743-061908C31AED}" name="Các bước thực hiện (Test Steps)" dataDxfId="49"/>
    <tableColumn id="6" xr3:uid="{F7200EBC-86B5-4EDD-90AA-2F20F9E195E6}" name="Dữ liệu kiểm thử (Test Data)" dataDxfId="48"/>
    <tableColumn id="7" xr3:uid="{82B92843-05B5-42C0-BA52-57F19470A081}" name="Kết quả mong đợi (Expected Result)" dataDxfId="47"/>
    <tableColumn id="8" xr3:uid="{AA48D957-8C14-4963-9E8F-5511913B2479}" name="Kết quả thực tế (Actual Result)" dataDxfId="46"/>
    <tableColumn id="9" xr3:uid="{3D1E225B-C5C3-4633-A0EA-6FA6F755B602}" name="Trạng thái (Status)" dataDxfId="45"/>
    <tableColumn id="10" xr3:uid="{E53DAC50-BABA-4AAD-A36E-BAAFEE3B2227}" name="Test Priority" dataDxfId="44"/>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D246A87-C33D-49B6-80DC-FCB776D26D68}" name="GD_10" displayName="GD_10" ref="L1:O5" headerRowDxfId="43" dataDxfId="42" totalsRowDxfId="41">
  <tableColumns count="4">
    <tableColumn id="1" xr3:uid="{CBB50B07-2766-41A7-BCEA-EA783CC0ACD2}" name="Status name" dataDxfId="40"/>
    <tableColumn id="2" xr3:uid="{22FEC310-E031-4329-A1FF-058F19362A7C}" name="Status count" dataDxfId="39"/>
    <tableColumn id="3" xr3:uid="{310E4225-29B3-4D58-B19E-C38976566A78}" name="Test Priority name" dataDxfId="38"/>
    <tableColumn id="4" xr3:uid="{CBB844FC-AC63-44EA-AB50-10F6E7509DAC}" name="Test Priority count" dataDxfId="37"/>
  </tableColumns>
  <tableStyleInfo name="TableStyleLight1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B6C2AC5-C78B-4D30-9AC5-19F444B35470}" name="Table4912" displayName="Table4912" ref="A1:J1048576" totalsRowShown="0" headerRowDxfId="36" dataDxfId="34" headerRowBorderDxfId="35" tableBorderDxfId="33">
  <autoFilter ref="A1:J1048576" xr:uid="{6B6C2AC5-C78B-4D30-9AC5-19F444B35470}"/>
  <tableColumns count="10">
    <tableColumn id="1" xr3:uid="{6CC1551E-5D86-4DCD-A2AC-DEA220B678D4}" name="Test Case ID" dataDxfId="32"/>
    <tableColumn id="2" xr3:uid="{21C77662-AED1-4028-82B7-FF4AED3164EE}" name="Scenario ID" dataDxfId="31"/>
    <tableColumn id="3" xr3:uid="{255CAF59-FBB5-4ED5-836D-295144C9D404}" name="Mô tả Test Case" dataDxfId="30"/>
    <tableColumn id="4" xr3:uid="{C241F7F2-BBC3-4166-8CE3-02CA6519C96A}" name="Điều kiện tiên quyết (Pre-conditions)" dataDxfId="29"/>
    <tableColumn id="5" xr3:uid="{D34CEB20-2C22-4B70-95D6-6A6A878D3CE8}" name="Các bước thực hiện (Test Steps)" dataDxfId="28"/>
    <tableColumn id="6" xr3:uid="{56B432B3-17EF-482B-A6E6-5EFE6A7DC1BB}" name="Dữ liệu kiểm thử (Test Data)" dataDxfId="27"/>
    <tableColumn id="7" xr3:uid="{624877EB-2C1E-40B4-BD2D-32E408C2B988}" name="Kết quả mong đợi (Expected Result)" dataDxfId="26"/>
    <tableColumn id="8" xr3:uid="{1D8BE85A-E55F-4CB6-8EC0-FF6BAB2BEB27}" name="Kết quả thực tế (Actual Result)" dataDxfId="25"/>
    <tableColumn id="9" xr3:uid="{E21F8515-EF65-4993-A506-F233236292C9}" name="Trạng thái (Status)" dataDxfId="24"/>
    <tableColumn id="10" xr3:uid="{75801A30-C099-47F1-B5CB-7E5678EA9483}" name="Test Priority" dataDxfId="23"/>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27DC0A8-C886-4AC5-8E63-372B7D5FF99F}" name="GD_1013" displayName="GD_1013" ref="L1:O5" headerRowDxfId="22" dataDxfId="21" totalsRowDxfId="20">
  <tableColumns count="4">
    <tableColumn id="1" xr3:uid="{68E6F9E3-57B3-4039-BEFE-87233C3769A1}" name="Status name" dataDxfId="19"/>
    <tableColumn id="2" xr3:uid="{04490AF2-A38E-46D3-A810-4C4CD0A3F4EF}" name="Status count" dataDxfId="18"/>
    <tableColumn id="3" xr3:uid="{832EB57B-7583-4666-A001-7BF634869DA9}" name="Test Priority name" dataDxfId="17"/>
    <tableColumn id="4" xr3:uid="{264828F0-772E-4CE3-9FD3-85AA5E01176F}" name="Test Priority count" dataDxfId="16"/>
  </tableColumns>
  <tableStyleInfo name="TableStyleLight1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132919-04E5-4AEC-8A45-3364E670AECC}" name="Table5" displayName="Table5" ref="A1:L1048576" totalsRowShown="0" headerRowDxfId="15" dataDxfId="13" headerRowBorderDxfId="14" tableBorderDxfId="12">
  <autoFilter ref="A1:L1048576" xr:uid="{95132919-04E5-4AEC-8A45-3364E670AECC}"/>
  <tableColumns count="12">
    <tableColumn id="1" xr3:uid="{664B5426-03F1-45A2-803B-FE154E30E3EE}" name="Bug ID" dataDxfId="11"/>
    <tableColumn id="2" xr3:uid="{6702DA04-E372-4171-853E-CB5AB8E07A55}" name="Tiêu đề Lỗi (Bug Title)" dataDxfId="10"/>
    <tableColumn id="3" xr3:uid="{53FBE9B8-9249-4076-81E3-452C2B9D967C}" name="Trạng thái (Status)" dataDxfId="9"/>
    <tableColumn id="4" xr3:uid="{3A9A0A08-D2EF-4023-BC91-7792D62EC098}" name="Mức độ nghiêm trọng (Severity)" dataDxfId="8"/>
    <tableColumn id="5" xr3:uid="{2F6A84C5-5E9B-4CDB-9480-102E19DFAE44}" name="Mức ưu tiên sửa (Priority)" dataDxfId="7"/>
    <tableColumn id="6" xr3:uid="{F962F5A8-472F-4224-9103-2CC726550CC9}" name="Người báo cáo" dataDxfId="6"/>
    <tableColumn id="7" xr3:uid="{E46A7C3F-9042-47D4-B294-365FA226CAD9}" name="Người sửa" dataDxfId="5"/>
    <tableColumn id="8" xr3:uid="{1E6BFB76-257B-44F6-B1CB-567819F92A58}" name="Môi trường" dataDxfId="4"/>
    <tableColumn id="9" xr3:uid="{4BDA5C72-AA9D-4F4E-AF36-602581677F37}" name="Các bước tái hiện (Steps to Reproduce)" dataDxfId="3"/>
    <tableColumn id="10" xr3:uid="{8970558A-2B1C-4035-B8DF-389B9275B379}" name="Kết quả thực tế" dataDxfId="2"/>
    <tableColumn id="11" xr3:uid="{70BC6671-BE9E-4786-B3BF-FC51580DBD63}" name="Kết quả mong đợi" dataDxfId="1"/>
    <tableColumn id="12" xr3:uid="{71D888EE-7277-44BA-A69C-7390F53588BE}" name="Đính kèm" dataDxfId="0"/>
  </tableColumns>
  <tableStyleInfo name="TableStyleLight13" showFirstColumn="0" showLastColumn="0" showRowStripes="1" showColumnStripes="0"/>
</table>
</file>

<file path=xl/theme/theme1.xml><?xml version="1.0" encoding="utf-8"?>
<a:theme xmlns:a="http://schemas.openxmlformats.org/drawingml/2006/main" name="Chủ đề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1BF0A-C950-4FF1-AD2A-6D2FC3E7838B}">
  <dimension ref="A1:J8"/>
  <sheetViews>
    <sheetView workbookViewId="0">
      <selection activeCell="G10" sqref="G10"/>
    </sheetView>
  </sheetViews>
  <sheetFormatPr defaultColWidth="9.125" defaultRowHeight="16.5" x14ac:dyDescent="0.25"/>
  <cols>
    <col min="1" max="1" width="9.125" style="1"/>
    <col min="2" max="2" width="33" style="78" customWidth="1"/>
    <col min="3" max="3" width="22.5" style="1" customWidth="1"/>
    <col min="4" max="4" width="18.125" style="1" customWidth="1"/>
    <col min="5" max="5" width="20" style="1" customWidth="1"/>
    <col min="6" max="6" width="21.375" style="1" customWidth="1"/>
    <col min="7" max="7" width="18.5" style="1" customWidth="1"/>
    <col min="8" max="8" width="17.875" style="1" customWidth="1"/>
    <col min="9" max="9" width="19.5" style="1" customWidth="1"/>
    <col min="10" max="10" width="14.875" style="1" customWidth="1"/>
    <col min="11" max="16384" width="9.125" style="1"/>
  </cols>
  <sheetData>
    <row r="1" spans="1:10" x14ac:dyDescent="0.25">
      <c r="A1" s="2" t="s">
        <v>0</v>
      </c>
      <c r="B1" s="2" t="s">
        <v>1</v>
      </c>
      <c r="C1" s="2" t="s">
        <v>2</v>
      </c>
      <c r="D1" s="2" t="s">
        <v>3</v>
      </c>
      <c r="E1" s="2" t="s">
        <v>4</v>
      </c>
      <c r="F1" s="2" t="s">
        <v>5</v>
      </c>
      <c r="G1" s="2" t="s">
        <v>6</v>
      </c>
      <c r="H1" s="2" t="s">
        <v>7</v>
      </c>
      <c r="I1" s="2" t="s">
        <v>8</v>
      </c>
      <c r="J1" s="2" t="s">
        <v>9</v>
      </c>
    </row>
    <row r="2" spans="1:10" x14ac:dyDescent="0.25">
      <c r="A2" s="1">
        <v>1</v>
      </c>
      <c r="B2" s="78" t="s">
        <v>10</v>
      </c>
      <c r="C2" s="1" t="s">
        <v>11</v>
      </c>
      <c r="D2" s="3" t="s">
        <v>12</v>
      </c>
      <c r="E2" s="3" t="s">
        <v>12</v>
      </c>
      <c r="F2" s="1" t="s">
        <v>13</v>
      </c>
      <c r="G2" s="1" t="s">
        <v>12</v>
      </c>
      <c r="H2" s="1" t="s">
        <v>12</v>
      </c>
      <c r="I2" s="1" t="s">
        <v>13</v>
      </c>
      <c r="J2" s="1" t="b">
        <v>1</v>
      </c>
    </row>
    <row r="3" spans="1:10" x14ac:dyDescent="0.25">
      <c r="A3" s="1">
        <v>2</v>
      </c>
      <c r="B3" s="78" t="s">
        <v>14</v>
      </c>
      <c r="C3" s="1" t="s">
        <v>11</v>
      </c>
      <c r="D3" s="3" t="s">
        <v>15</v>
      </c>
      <c r="E3" s="3">
        <v>45787</v>
      </c>
      <c r="F3" s="1" t="s">
        <v>16</v>
      </c>
      <c r="G3" s="3" t="s">
        <v>15</v>
      </c>
      <c r="H3" s="3">
        <v>45910</v>
      </c>
      <c r="I3" s="1" t="s">
        <v>17</v>
      </c>
      <c r="J3" s="1" t="b">
        <v>1</v>
      </c>
    </row>
    <row r="4" spans="1:10" x14ac:dyDescent="0.25">
      <c r="A4" s="1">
        <v>3</v>
      </c>
      <c r="B4" s="78" t="s">
        <v>18</v>
      </c>
      <c r="C4" s="1" t="s">
        <v>19</v>
      </c>
      <c r="D4" s="3">
        <v>45818</v>
      </c>
      <c r="E4" s="3">
        <v>45818</v>
      </c>
      <c r="F4" s="1" t="s">
        <v>20</v>
      </c>
      <c r="G4" s="3">
        <v>45818</v>
      </c>
      <c r="H4" s="3"/>
    </row>
    <row r="5" spans="1:10" x14ac:dyDescent="0.25">
      <c r="A5" s="1">
        <v>4</v>
      </c>
      <c r="B5" s="78" t="s">
        <v>21</v>
      </c>
      <c r="C5" s="1" t="s">
        <v>19</v>
      </c>
      <c r="D5" s="3">
        <v>45818</v>
      </c>
      <c r="E5" s="3">
        <v>45940</v>
      </c>
      <c r="F5" s="1" t="s">
        <v>22</v>
      </c>
      <c r="G5" s="3">
        <v>45879</v>
      </c>
      <c r="H5" s="1" t="s">
        <v>23</v>
      </c>
      <c r="J5" s="1" t="b">
        <v>0</v>
      </c>
    </row>
    <row r="6" spans="1:10" x14ac:dyDescent="0.25">
      <c r="A6" s="1">
        <v>5</v>
      </c>
      <c r="B6" s="78" t="s">
        <v>24</v>
      </c>
      <c r="C6" s="1" t="s">
        <v>11</v>
      </c>
      <c r="D6" s="3">
        <v>45818</v>
      </c>
      <c r="E6" s="3">
        <v>45940</v>
      </c>
      <c r="F6" s="1" t="s">
        <v>22</v>
      </c>
      <c r="G6" s="3">
        <v>45848</v>
      </c>
      <c r="H6" s="1" t="s">
        <v>25</v>
      </c>
      <c r="I6" s="1" t="s">
        <v>26</v>
      </c>
      <c r="J6" s="1" t="b">
        <v>1</v>
      </c>
    </row>
    <row r="7" spans="1:10" x14ac:dyDescent="0.25">
      <c r="A7" s="1">
        <v>6</v>
      </c>
      <c r="B7" s="78" t="s">
        <v>27</v>
      </c>
      <c r="C7" s="1" t="s">
        <v>11</v>
      </c>
      <c r="D7" s="1" t="s">
        <v>25</v>
      </c>
      <c r="E7" s="1" t="s">
        <v>28</v>
      </c>
      <c r="F7" s="1" t="s">
        <v>29</v>
      </c>
      <c r="G7" s="1" t="s">
        <v>25</v>
      </c>
      <c r="H7" s="1" t="s">
        <v>28</v>
      </c>
      <c r="I7" s="1" t="s">
        <v>29</v>
      </c>
      <c r="J7" s="1" t="b">
        <v>1</v>
      </c>
    </row>
    <row r="8" spans="1:10" x14ac:dyDescent="0.25">
      <c r="A8" s="1">
        <v>7</v>
      </c>
      <c r="B8" s="78" t="s">
        <v>30</v>
      </c>
      <c r="C8" s="1" t="s">
        <v>11</v>
      </c>
      <c r="D8" s="1" t="s">
        <v>28</v>
      </c>
      <c r="E8" s="1" t="s">
        <v>31</v>
      </c>
      <c r="F8" s="1" t="s">
        <v>29</v>
      </c>
      <c r="G8" s="1" t="s">
        <v>28</v>
      </c>
      <c r="H8" s="1" t="s">
        <v>23</v>
      </c>
      <c r="J8" s="1" t="b">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DBA7-A4E1-4D36-9745-D7E5C4CE2D19}">
  <dimension ref="A1:A51"/>
  <sheetViews>
    <sheetView workbookViewId="0">
      <selection activeCell="H10" sqref="H10"/>
    </sheetView>
  </sheetViews>
  <sheetFormatPr defaultColWidth="8.875" defaultRowHeight="16.5" x14ac:dyDescent="0.25"/>
  <cols>
    <col min="1" max="16384" width="8.875" style="4"/>
  </cols>
  <sheetData>
    <row r="1" spans="1:1" x14ac:dyDescent="0.25">
      <c r="A1" s="20" t="s">
        <v>32</v>
      </c>
    </row>
    <row r="2" spans="1:1" x14ac:dyDescent="0.25">
      <c r="A2" s="21"/>
    </row>
    <row r="3" spans="1:1" x14ac:dyDescent="0.25">
      <c r="A3" s="22" t="s">
        <v>33</v>
      </c>
    </row>
    <row r="4" spans="1:1" x14ac:dyDescent="0.25">
      <c r="A4" s="21"/>
    </row>
    <row r="5" spans="1:1" x14ac:dyDescent="0.25">
      <c r="A5" s="22" t="s">
        <v>34</v>
      </c>
    </row>
    <row r="7" spans="1:1" x14ac:dyDescent="0.25">
      <c r="A7" s="23" t="s">
        <v>35</v>
      </c>
    </row>
    <row r="8" spans="1:1" x14ac:dyDescent="0.25">
      <c r="A8" s="21"/>
    </row>
    <row r="9" spans="1:1" x14ac:dyDescent="0.25">
      <c r="A9" s="22" t="s">
        <v>36</v>
      </c>
    </row>
    <row r="10" spans="1:1" x14ac:dyDescent="0.25">
      <c r="A10" s="21"/>
    </row>
    <row r="11" spans="1:1" x14ac:dyDescent="0.25">
      <c r="A11" s="21"/>
    </row>
    <row r="12" spans="1:1" x14ac:dyDescent="0.25">
      <c r="A12" s="24"/>
    </row>
    <row r="13" spans="1:1" x14ac:dyDescent="0.25">
      <c r="A13" s="24" t="s">
        <v>37</v>
      </c>
    </row>
    <row r="14" spans="1:1" x14ac:dyDescent="0.25">
      <c r="A14" s="24"/>
    </row>
    <row r="15" spans="1:1" x14ac:dyDescent="0.25">
      <c r="A15" s="24" t="s">
        <v>38</v>
      </c>
    </row>
    <row r="16" spans="1:1" x14ac:dyDescent="0.25">
      <c r="A16" s="24"/>
    </row>
    <row r="17" spans="1:1" x14ac:dyDescent="0.25">
      <c r="A17" s="24" t="s">
        <v>39</v>
      </c>
    </row>
    <row r="18" spans="1:1" x14ac:dyDescent="0.25">
      <c r="A18" s="21"/>
    </row>
    <row r="19" spans="1:1" x14ac:dyDescent="0.25">
      <c r="A19" s="22" t="s">
        <v>40</v>
      </c>
    </row>
    <row r="20" spans="1:1" x14ac:dyDescent="0.25">
      <c r="A20" s="21"/>
    </row>
    <row r="21" spans="1:1" x14ac:dyDescent="0.25">
      <c r="A21" s="21"/>
    </row>
    <row r="22" spans="1:1" x14ac:dyDescent="0.25">
      <c r="A22" s="24"/>
    </row>
    <row r="23" spans="1:1" x14ac:dyDescent="0.25">
      <c r="A23" s="25" t="s">
        <v>41</v>
      </c>
    </row>
    <row r="24" spans="1:1" x14ac:dyDescent="0.25">
      <c r="A24" s="24"/>
    </row>
    <row r="25" spans="1:1" x14ac:dyDescent="0.25">
      <c r="A25" s="25" t="s">
        <v>42</v>
      </c>
    </row>
    <row r="26" spans="1:1" x14ac:dyDescent="0.25">
      <c r="A26" s="24"/>
    </row>
    <row r="27" spans="1:1" x14ac:dyDescent="0.25">
      <c r="A27" s="25" t="s">
        <v>43</v>
      </c>
    </row>
    <row r="28" spans="1:1" x14ac:dyDescent="0.25">
      <c r="A28" s="21"/>
    </row>
    <row r="29" spans="1:1" x14ac:dyDescent="0.25">
      <c r="A29" s="22" t="s">
        <v>44</v>
      </c>
    </row>
    <row r="30" spans="1:1" x14ac:dyDescent="0.25">
      <c r="A30" s="21"/>
    </row>
    <row r="31" spans="1:1" x14ac:dyDescent="0.25">
      <c r="A31" s="21"/>
    </row>
    <row r="32" spans="1:1" x14ac:dyDescent="0.25">
      <c r="A32" s="24"/>
    </row>
    <row r="33" spans="1:1" x14ac:dyDescent="0.25">
      <c r="A33" s="25" t="s">
        <v>45</v>
      </c>
    </row>
    <row r="34" spans="1:1" x14ac:dyDescent="0.25">
      <c r="A34" s="24"/>
    </row>
    <row r="35" spans="1:1" x14ac:dyDescent="0.25">
      <c r="A35" s="25" t="s">
        <v>46</v>
      </c>
    </row>
    <row r="36" spans="1:1" x14ac:dyDescent="0.25">
      <c r="A36" s="24"/>
    </row>
    <row r="37" spans="1:1" x14ac:dyDescent="0.25">
      <c r="A37" s="25" t="s">
        <v>47</v>
      </c>
    </row>
    <row r="38" spans="1:1" x14ac:dyDescent="0.25">
      <c r="A38" s="24"/>
    </row>
    <row r="39" spans="1:1" x14ac:dyDescent="0.25">
      <c r="A39" s="25" t="s">
        <v>48</v>
      </c>
    </row>
    <row r="40" spans="1:1" x14ac:dyDescent="0.25">
      <c r="A40" s="21"/>
    </row>
    <row r="41" spans="1:1" x14ac:dyDescent="0.25">
      <c r="A41" s="22" t="s">
        <v>49</v>
      </c>
    </row>
    <row r="42" spans="1:1" x14ac:dyDescent="0.25">
      <c r="A42" s="21"/>
    </row>
    <row r="43" spans="1:1" x14ac:dyDescent="0.25">
      <c r="A43" s="21"/>
    </row>
    <row r="44" spans="1:1" x14ac:dyDescent="0.25">
      <c r="A44" s="24"/>
    </row>
    <row r="45" spans="1:1" x14ac:dyDescent="0.25">
      <c r="A45" s="25" t="s">
        <v>50</v>
      </c>
    </row>
    <row r="46" spans="1:1" x14ac:dyDescent="0.25">
      <c r="A46" s="24"/>
    </row>
    <row r="47" spans="1:1" x14ac:dyDescent="0.25">
      <c r="A47" s="25" t="s">
        <v>51</v>
      </c>
    </row>
    <row r="48" spans="1:1" x14ac:dyDescent="0.25">
      <c r="A48" s="24"/>
    </row>
    <row r="49" spans="1:1" x14ac:dyDescent="0.25">
      <c r="A49" s="25" t="s">
        <v>52</v>
      </c>
    </row>
    <row r="50" spans="1:1" x14ac:dyDescent="0.25">
      <c r="A50" s="24"/>
    </row>
    <row r="51" spans="1:1" x14ac:dyDescent="0.25">
      <c r="A51" s="25"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5886-66D1-4D46-A863-E61B4008A6D3}">
  <dimension ref="A1:J29"/>
  <sheetViews>
    <sheetView workbookViewId="0">
      <selection activeCell="J8" sqref="J8"/>
    </sheetView>
  </sheetViews>
  <sheetFormatPr defaultColWidth="8.875" defaultRowHeight="16.5" x14ac:dyDescent="0.2"/>
  <cols>
    <col min="1" max="1" width="9.125" style="7" customWidth="1"/>
    <col min="2" max="2" width="43.5" style="7" customWidth="1"/>
    <col min="3" max="3" width="18.75" style="7" customWidth="1"/>
    <col min="4" max="4" width="17.125" style="7" customWidth="1"/>
    <col min="5" max="5" width="8.875" style="7"/>
    <col min="6" max="6" width="6.625" bestFit="1" customWidth="1"/>
    <col min="7" max="7" width="30.875" bestFit="1" customWidth="1"/>
    <col min="8" max="8" width="19.5" bestFit="1" customWidth="1"/>
    <col min="9" max="9" width="16.75" bestFit="1" customWidth="1"/>
    <col min="10" max="10" width="11.625" style="7" bestFit="1" customWidth="1"/>
    <col min="11" max="16384" width="8.875" style="7"/>
  </cols>
  <sheetData>
    <row r="1" spans="1:10" x14ac:dyDescent="0.2">
      <c r="A1" s="33" t="s">
        <v>54</v>
      </c>
      <c r="B1" s="33" t="s">
        <v>55</v>
      </c>
      <c r="C1" s="33" t="s">
        <v>56</v>
      </c>
      <c r="D1" s="33" t="s">
        <v>57</v>
      </c>
      <c r="F1" s="31"/>
      <c r="G1" s="31"/>
      <c r="H1" s="31"/>
      <c r="I1" s="31"/>
    </row>
    <row r="2" spans="1:10" x14ac:dyDescent="0.2">
      <c r="A2" s="37">
        <v>1</v>
      </c>
      <c r="B2" s="38" t="s">
        <v>58</v>
      </c>
      <c r="C2" s="37" t="s">
        <v>59</v>
      </c>
      <c r="D2" s="37" t="s">
        <v>59</v>
      </c>
      <c r="F2" s="32"/>
      <c r="G2" s="32"/>
      <c r="H2" s="31"/>
      <c r="I2" s="31"/>
    </row>
    <row r="3" spans="1:10" ht="49.5" x14ac:dyDescent="0.2">
      <c r="A3" s="34">
        <v>2</v>
      </c>
      <c r="B3" s="36" t="s">
        <v>60</v>
      </c>
      <c r="C3" s="34" t="s">
        <v>61</v>
      </c>
      <c r="D3" s="34" t="s">
        <v>59</v>
      </c>
      <c r="F3" s="31"/>
      <c r="G3" s="31"/>
      <c r="H3" s="31"/>
      <c r="I3" s="31"/>
    </row>
    <row r="4" spans="1:10" x14ac:dyDescent="0.2">
      <c r="A4" s="34">
        <v>3</v>
      </c>
      <c r="B4" s="35" t="s">
        <v>62</v>
      </c>
      <c r="C4" s="34" t="s">
        <v>61</v>
      </c>
      <c r="D4" s="34" t="s">
        <v>59</v>
      </c>
      <c r="F4" s="31"/>
      <c r="G4" s="31" t="s">
        <v>63</v>
      </c>
      <c r="H4" s="79" t="s">
        <v>64</v>
      </c>
      <c r="I4" s="80" t="s">
        <v>65</v>
      </c>
      <c r="J4" s="81" t="s">
        <v>66</v>
      </c>
    </row>
    <row r="5" spans="1:10" x14ac:dyDescent="0.2">
      <c r="A5" s="34">
        <v>4</v>
      </c>
      <c r="B5" s="35" t="s">
        <v>67</v>
      </c>
      <c r="C5" s="34" t="s">
        <v>61</v>
      </c>
      <c r="D5" s="34"/>
      <c r="F5" s="31"/>
      <c r="G5" s="31"/>
      <c r="H5" s="31"/>
      <c r="I5" s="31"/>
    </row>
    <row r="6" spans="1:10" x14ac:dyDescent="0.2">
      <c r="A6" s="37">
        <v>5</v>
      </c>
      <c r="B6" s="38" t="s">
        <v>68</v>
      </c>
      <c r="C6" s="37"/>
      <c r="D6" s="37" t="s">
        <v>59</v>
      </c>
      <c r="F6" s="31"/>
      <c r="G6" s="31"/>
      <c r="H6" s="31"/>
      <c r="I6" s="31"/>
    </row>
    <row r="7" spans="1:10" x14ac:dyDescent="0.2">
      <c r="A7" s="34">
        <v>6</v>
      </c>
      <c r="B7" s="35" t="s">
        <v>69</v>
      </c>
      <c r="C7" s="34" t="s">
        <v>61</v>
      </c>
      <c r="D7" s="34"/>
      <c r="F7" s="31"/>
      <c r="G7" s="31"/>
      <c r="H7" s="31"/>
      <c r="I7" s="32"/>
    </row>
    <row r="8" spans="1:10" x14ac:dyDescent="0.2">
      <c r="A8" s="37">
        <v>7</v>
      </c>
      <c r="B8" s="38" t="s">
        <v>70</v>
      </c>
      <c r="C8" s="37"/>
      <c r="D8" s="37" t="s">
        <v>59</v>
      </c>
      <c r="F8" s="32"/>
      <c r="G8" s="32"/>
      <c r="H8" s="31"/>
      <c r="I8" s="31"/>
    </row>
    <row r="9" spans="1:10" x14ac:dyDescent="0.2">
      <c r="A9" s="34">
        <v>8</v>
      </c>
      <c r="B9" s="35" t="s">
        <v>71</v>
      </c>
      <c r="C9" s="34" t="s">
        <v>61</v>
      </c>
      <c r="D9" s="34" t="s">
        <v>59</v>
      </c>
      <c r="F9" s="31"/>
      <c r="G9" s="31"/>
      <c r="H9" s="31"/>
      <c r="I9" s="31"/>
    </row>
    <row r="10" spans="1:10" x14ac:dyDescent="0.2">
      <c r="A10" s="34">
        <v>9</v>
      </c>
      <c r="B10" s="35" t="s">
        <v>72</v>
      </c>
      <c r="C10" s="34" t="s">
        <v>61</v>
      </c>
      <c r="D10" s="34" t="s">
        <v>59</v>
      </c>
      <c r="F10" s="32"/>
      <c r="G10" s="32"/>
      <c r="H10" s="31"/>
      <c r="I10" s="31"/>
    </row>
    <row r="11" spans="1:10" x14ac:dyDescent="0.2">
      <c r="A11" s="34">
        <v>10</v>
      </c>
      <c r="B11" s="35" t="s">
        <v>73</v>
      </c>
      <c r="C11" s="34" t="s">
        <v>61</v>
      </c>
      <c r="D11" s="34"/>
      <c r="F11" s="31"/>
      <c r="G11" s="31"/>
      <c r="H11" s="31"/>
      <c r="I11" s="31"/>
    </row>
    <row r="12" spans="1:10" x14ac:dyDescent="0.2">
      <c r="A12" s="37">
        <v>11</v>
      </c>
      <c r="B12" s="38" t="s">
        <v>74</v>
      </c>
      <c r="C12" s="37"/>
      <c r="D12" s="37"/>
      <c r="F12" s="31"/>
      <c r="G12" s="31"/>
      <c r="H12" s="31"/>
      <c r="I12" s="31"/>
    </row>
    <row r="13" spans="1:10" x14ac:dyDescent="0.2">
      <c r="A13" s="34">
        <v>12</v>
      </c>
      <c r="B13" s="35" t="s">
        <v>75</v>
      </c>
      <c r="C13" s="34" t="s">
        <v>61</v>
      </c>
      <c r="D13" s="34"/>
      <c r="F13" s="31"/>
      <c r="G13" s="31"/>
      <c r="H13" s="31"/>
      <c r="I13" s="31"/>
    </row>
    <row r="14" spans="1:10" x14ac:dyDescent="0.2">
      <c r="A14" s="37">
        <v>13</v>
      </c>
      <c r="B14" s="38" t="s">
        <v>76</v>
      </c>
      <c r="C14" s="37"/>
      <c r="D14" s="37"/>
      <c r="F14" s="31"/>
      <c r="G14" s="31"/>
      <c r="H14" s="31"/>
      <c r="I14" s="31"/>
    </row>
    <row r="15" spans="1:10" x14ac:dyDescent="0.2">
      <c r="A15" s="34">
        <v>14</v>
      </c>
      <c r="B15" s="35" t="s">
        <v>77</v>
      </c>
      <c r="C15" s="34" t="s">
        <v>61</v>
      </c>
      <c r="D15" s="34"/>
      <c r="F15" s="31"/>
      <c r="G15" s="31"/>
      <c r="H15" s="31"/>
      <c r="I15" s="31"/>
    </row>
    <row r="16" spans="1:10" x14ac:dyDescent="0.2">
      <c r="A16" s="37">
        <v>15</v>
      </c>
      <c r="B16" s="38" t="s">
        <v>78</v>
      </c>
      <c r="C16" s="37"/>
      <c r="D16" s="37"/>
    </row>
    <row r="17" spans="1:4" ht="33" x14ac:dyDescent="0.2">
      <c r="A17" s="34">
        <v>16</v>
      </c>
      <c r="B17" s="36" t="s">
        <v>79</v>
      </c>
      <c r="C17" s="34" t="s">
        <v>61</v>
      </c>
      <c r="D17" s="34"/>
    </row>
    <row r="18" spans="1:4" x14ac:dyDescent="0.2">
      <c r="A18" s="37">
        <v>17</v>
      </c>
      <c r="B18" s="38" t="s">
        <v>74</v>
      </c>
      <c r="C18" s="37"/>
      <c r="D18" s="37"/>
    </row>
    <row r="19" spans="1:4" x14ac:dyDescent="0.2">
      <c r="A19" s="34">
        <v>18</v>
      </c>
      <c r="B19" s="35" t="s">
        <v>75</v>
      </c>
      <c r="C19" s="34" t="s">
        <v>61</v>
      </c>
      <c r="D19" s="34"/>
    </row>
    <row r="20" spans="1:4" x14ac:dyDescent="0.2">
      <c r="A20" s="37">
        <v>19</v>
      </c>
      <c r="B20" s="38" t="s">
        <v>80</v>
      </c>
      <c r="C20" s="37"/>
      <c r="D20" s="37"/>
    </row>
    <row r="21" spans="1:4" x14ac:dyDescent="0.2">
      <c r="A21" s="34">
        <v>20</v>
      </c>
      <c r="B21" s="35" t="s">
        <v>81</v>
      </c>
      <c r="C21" s="34" t="s">
        <v>61</v>
      </c>
      <c r="D21" s="34"/>
    </row>
    <row r="22" spans="1:4" x14ac:dyDescent="0.2">
      <c r="A22" s="37">
        <v>21</v>
      </c>
      <c r="B22" s="38" t="s">
        <v>82</v>
      </c>
      <c r="C22" s="37"/>
      <c r="D22" s="37"/>
    </row>
    <row r="23" spans="1:4" ht="33" x14ac:dyDescent="0.2">
      <c r="A23" s="34">
        <v>22</v>
      </c>
      <c r="B23" s="36" t="s">
        <v>83</v>
      </c>
      <c r="C23" s="34" t="s">
        <v>61</v>
      </c>
      <c r="D23" s="34"/>
    </row>
    <row r="24" spans="1:4" x14ac:dyDescent="0.2">
      <c r="A24" s="34"/>
      <c r="B24" s="35"/>
      <c r="C24" s="34"/>
      <c r="D24" s="34"/>
    </row>
    <row r="25" spans="1:4" x14ac:dyDescent="0.2">
      <c r="A25" s="34"/>
      <c r="B25" s="35"/>
      <c r="C25" s="34"/>
      <c r="D25" s="34"/>
    </row>
    <row r="26" spans="1:4" x14ac:dyDescent="0.2">
      <c r="A26" s="34"/>
      <c r="B26" s="35"/>
      <c r="C26" s="34"/>
      <c r="D26" s="34"/>
    </row>
    <row r="27" spans="1:4" x14ac:dyDescent="0.2">
      <c r="A27" s="34"/>
      <c r="B27" s="35"/>
      <c r="C27" s="34"/>
      <c r="D27" s="34"/>
    </row>
    <row r="28" spans="1:4" x14ac:dyDescent="0.2">
      <c r="A28" s="34"/>
      <c r="B28" s="35"/>
      <c r="C28" s="34"/>
      <c r="D28" s="34"/>
    </row>
    <row r="29" spans="1:4" x14ac:dyDescent="0.2">
      <c r="A29" s="34"/>
      <c r="B29" s="35"/>
      <c r="C29" s="34"/>
      <c r="D29" s="34"/>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10DCA-68AA-4517-A49E-F4475BE871EB}">
  <dimension ref="A1:H30"/>
  <sheetViews>
    <sheetView topLeftCell="A21" zoomScale="112" workbookViewId="0">
      <selection activeCell="J22" sqref="J22"/>
    </sheetView>
  </sheetViews>
  <sheetFormatPr defaultColWidth="8.875" defaultRowHeight="16.5" x14ac:dyDescent="0.2"/>
  <cols>
    <col min="1" max="1" width="14.625" style="40" customWidth="1"/>
    <col min="2" max="2" width="20.625" style="40" customWidth="1"/>
    <col min="3" max="3" width="21.5" style="40" customWidth="1"/>
    <col min="4" max="4" width="25.375" style="40" customWidth="1"/>
    <col min="5" max="5" width="27.375" style="40" customWidth="1"/>
    <col min="6" max="16384" width="8.875" style="40"/>
  </cols>
  <sheetData>
    <row r="1" spans="1:5" x14ac:dyDescent="0.2">
      <c r="A1" s="91" t="s">
        <v>84</v>
      </c>
      <c r="B1" s="91" t="s">
        <v>85</v>
      </c>
      <c r="C1" s="91" t="s">
        <v>86</v>
      </c>
      <c r="D1" s="91" t="s">
        <v>87</v>
      </c>
      <c r="E1" s="91" t="s">
        <v>88</v>
      </c>
    </row>
    <row r="2" spans="1:5" ht="33" x14ac:dyDescent="0.2">
      <c r="A2" s="92" t="s">
        <v>89</v>
      </c>
      <c r="B2" s="92" t="s">
        <v>90</v>
      </c>
      <c r="C2" s="93" t="s">
        <v>91</v>
      </c>
      <c r="D2" s="93" t="s">
        <v>92</v>
      </c>
      <c r="E2" s="92"/>
    </row>
    <row r="3" spans="1:5" ht="78.75" customHeight="1" x14ac:dyDescent="0.2">
      <c r="A3" s="92" t="s">
        <v>93</v>
      </c>
      <c r="B3" s="93" t="s">
        <v>94</v>
      </c>
      <c r="C3" s="93" t="s">
        <v>95</v>
      </c>
      <c r="D3" s="93" t="s">
        <v>96</v>
      </c>
      <c r="E3" s="92"/>
    </row>
    <row r="4" spans="1:5" ht="66" x14ac:dyDescent="0.2">
      <c r="A4" s="92" t="s">
        <v>97</v>
      </c>
      <c r="B4" s="92" t="s">
        <v>98</v>
      </c>
      <c r="C4" s="93" t="s">
        <v>99</v>
      </c>
      <c r="D4" s="93" t="s">
        <v>100</v>
      </c>
      <c r="E4" s="92"/>
    </row>
    <row r="5" spans="1:5" ht="66" x14ac:dyDescent="0.2">
      <c r="A5" s="92" t="s">
        <v>101</v>
      </c>
      <c r="B5" s="93" t="s">
        <v>102</v>
      </c>
      <c r="C5" s="93" t="s">
        <v>103</v>
      </c>
      <c r="D5" s="93" t="s">
        <v>104</v>
      </c>
      <c r="E5" s="92"/>
    </row>
    <row r="6" spans="1:5" ht="49.5" x14ac:dyDescent="0.2">
      <c r="A6" s="92" t="s">
        <v>105</v>
      </c>
      <c r="B6" s="93" t="s">
        <v>106</v>
      </c>
      <c r="C6" s="93" t="s">
        <v>107</v>
      </c>
      <c r="D6" s="93" t="s">
        <v>108</v>
      </c>
      <c r="E6" s="92"/>
    </row>
    <row r="7" spans="1:5" ht="98.25" customHeight="1" x14ac:dyDescent="0.2">
      <c r="A7" s="92" t="s">
        <v>109</v>
      </c>
      <c r="B7" s="97" t="s">
        <v>110</v>
      </c>
      <c r="C7" s="97" t="s">
        <v>111</v>
      </c>
      <c r="D7" s="97" t="s">
        <v>112</v>
      </c>
      <c r="E7" s="92"/>
    </row>
    <row r="8" spans="1:5" ht="73.5" customHeight="1" x14ac:dyDescent="0.2">
      <c r="A8" s="95" t="s">
        <v>113</v>
      </c>
      <c r="B8" s="94" t="s">
        <v>114</v>
      </c>
      <c r="C8" s="94" t="s">
        <v>115</v>
      </c>
      <c r="D8" s="94" t="s">
        <v>116</v>
      </c>
      <c r="E8" s="96"/>
    </row>
    <row r="9" spans="1:5" ht="68.25" customHeight="1" x14ac:dyDescent="0.2">
      <c r="A9" s="95" t="s">
        <v>117</v>
      </c>
      <c r="B9" s="94" t="s">
        <v>118</v>
      </c>
      <c r="C9" s="94" t="s">
        <v>119</v>
      </c>
      <c r="D9" s="94" t="s">
        <v>120</v>
      </c>
      <c r="E9" s="96"/>
    </row>
    <row r="10" spans="1:5" ht="67.5" customHeight="1" x14ac:dyDescent="0.2">
      <c r="A10" s="95" t="s">
        <v>117</v>
      </c>
      <c r="B10" s="94" t="s">
        <v>121</v>
      </c>
      <c r="C10" s="94" t="s">
        <v>122</v>
      </c>
      <c r="D10" s="94" t="s">
        <v>123</v>
      </c>
      <c r="E10" s="96"/>
    </row>
    <row r="11" spans="1:5" ht="77.25" customHeight="1" x14ac:dyDescent="0.2">
      <c r="A11" s="95" t="s">
        <v>124</v>
      </c>
      <c r="B11" s="94" t="s">
        <v>125</v>
      </c>
      <c r="C11" s="94" t="s">
        <v>126</v>
      </c>
      <c r="D11" s="94" t="s">
        <v>127</v>
      </c>
      <c r="E11" s="96"/>
    </row>
    <row r="12" spans="1:5" ht="66" x14ac:dyDescent="0.2">
      <c r="A12" s="92" t="s">
        <v>128</v>
      </c>
      <c r="B12" s="98" t="s">
        <v>129</v>
      </c>
      <c r="C12" s="98" t="s">
        <v>130</v>
      </c>
      <c r="D12" s="98" t="s">
        <v>131</v>
      </c>
      <c r="E12" s="92"/>
    </row>
    <row r="13" spans="1:5" ht="115.5" x14ac:dyDescent="0.2">
      <c r="A13" s="92" t="s">
        <v>132</v>
      </c>
      <c r="B13" s="94" t="s">
        <v>133</v>
      </c>
      <c r="C13" s="94" t="s">
        <v>134</v>
      </c>
      <c r="D13" s="94" t="s">
        <v>135</v>
      </c>
      <c r="E13" s="92"/>
    </row>
    <row r="14" spans="1:5" ht="82.5" x14ac:dyDescent="0.2">
      <c r="A14" s="92" t="s">
        <v>136</v>
      </c>
      <c r="B14" s="94" t="s">
        <v>137</v>
      </c>
      <c r="C14" s="93" t="s">
        <v>138</v>
      </c>
      <c r="D14" s="94" t="s">
        <v>139</v>
      </c>
      <c r="E14" s="92"/>
    </row>
    <row r="15" spans="1:5" ht="115.5" x14ac:dyDescent="0.2">
      <c r="A15" s="92" t="s">
        <v>140</v>
      </c>
      <c r="B15" s="94" t="s">
        <v>141</v>
      </c>
      <c r="C15" s="94" t="s">
        <v>142</v>
      </c>
      <c r="D15" s="94" t="s">
        <v>143</v>
      </c>
      <c r="E15" s="92"/>
    </row>
    <row r="16" spans="1:5" ht="49.5" x14ac:dyDescent="0.2">
      <c r="A16" s="92" t="s">
        <v>144</v>
      </c>
      <c r="B16" s="94" t="s">
        <v>145</v>
      </c>
      <c r="C16" s="94" t="s">
        <v>146</v>
      </c>
      <c r="D16" s="94" t="s">
        <v>147</v>
      </c>
      <c r="E16" s="92"/>
    </row>
    <row r="17" spans="1:8" ht="49.5" x14ac:dyDescent="0.2">
      <c r="A17" s="92" t="s">
        <v>148</v>
      </c>
      <c r="B17" s="94" t="s">
        <v>149</v>
      </c>
      <c r="C17" s="94" t="s">
        <v>150</v>
      </c>
      <c r="D17" s="94" t="s">
        <v>151</v>
      </c>
      <c r="E17" s="92"/>
    </row>
    <row r="18" spans="1:8" ht="49.5" x14ac:dyDescent="0.2">
      <c r="A18" s="92" t="s">
        <v>152</v>
      </c>
      <c r="B18" s="94" t="s">
        <v>153</v>
      </c>
      <c r="C18" s="94" t="s">
        <v>154</v>
      </c>
      <c r="D18" s="94" t="s">
        <v>155</v>
      </c>
      <c r="E18" s="92"/>
    </row>
    <row r="19" spans="1:8" ht="66" x14ac:dyDescent="0.2">
      <c r="A19" s="92" t="s">
        <v>156</v>
      </c>
      <c r="B19" s="92" t="s">
        <v>157</v>
      </c>
      <c r="C19" s="93" t="s">
        <v>158</v>
      </c>
      <c r="D19" s="93" t="s">
        <v>159</v>
      </c>
      <c r="E19" s="92"/>
    </row>
    <row r="20" spans="1:8" ht="82.5" x14ac:dyDescent="0.2">
      <c r="A20" s="92" t="s">
        <v>160</v>
      </c>
      <c r="B20" s="94" t="s">
        <v>161</v>
      </c>
      <c r="C20" s="94" t="s">
        <v>162</v>
      </c>
      <c r="D20" s="94" t="s">
        <v>163</v>
      </c>
      <c r="E20" s="92"/>
    </row>
    <row r="21" spans="1:8" ht="66" x14ac:dyDescent="0.2">
      <c r="A21" s="92" t="s">
        <v>164</v>
      </c>
      <c r="B21" s="94" t="s">
        <v>165</v>
      </c>
      <c r="C21" s="94" t="s">
        <v>166</v>
      </c>
      <c r="D21" s="94" t="s">
        <v>167</v>
      </c>
      <c r="E21" s="92"/>
    </row>
    <row r="22" spans="1:8" ht="115.5" x14ac:dyDescent="0.2">
      <c r="A22" s="92" t="s">
        <v>168</v>
      </c>
      <c r="B22" s="94" t="s">
        <v>169</v>
      </c>
      <c r="C22" s="94" t="s">
        <v>170</v>
      </c>
      <c r="D22" s="94" t="s">
        <v>171</v>
      </c>
      <c r="E22" s="92"/>
      <c r="G22" s="41" t="s">
        <v>471</v>
      </c>
    </row>
    <row r="23" spans="1:8" ht="82.5" x14ac:dyDescent="0.2">
      <c r="A23" s="92" t="s">
        <v>172</v>
      </c>
      <c r="B23" s="94" t="s">
        <v>173</v>
      </c>
      <c r="C23" s="94" t="s">
        <v>174</v>
      </c>
      <c r="D23" s="94" t="s">
        <v>175</v>
      </c>
      <c r="E23" s="92"/>
    </row>
    <row r="24" spans="1:8" ht="82.5" x14ac:dyDescent="0.2">
      <c r="A24" s="92" t="s">
        <v>176</v>
      </c>
      <c r="B24" s="99" t="s">
        <v>177</v>
      </c>
      <c r="C24" s="99" t="s">
        <v>178</v>
      </c>
      <c r="D24" s="99" t="s">
        <v>179</v>
      </c>
      <c r="E24" s="93"/>
      <c r="F24" s="41"/>
      <c r="G24" s="41"/>
      <c r="H24" s="41"/>
    </row>
    <row r="25" spans="1:8" ht="66" x14ac:dyDescent="0.2">
      <c r="A25" s="95" t="s">
        <v>180</v>
      </c>
      <c r="B25" s="93" t="s">
        <v>181</v>
      </c>
      <c r="C25" s="93" t="s">
        <v>182</v>
      </c>
      <c r="D25" s="93" t="s">
        <v>183</v>
      </c>
      <c r="E25" s="96"/>
    </row>
    <row r="26" spans="1:8" ht="66" x14ac:dyDescent="0.2">
      <c r="A26" s="95" t="s">
        <v>184</v>
      </c>
      <c r="B26" s="94" t="s">
        <v>185</v>
      </c>
      <c r="C26" s="94" t="s">
        <v>186</v>
      </c>
      <c r="D26" s="93" t="s">
        <v>187</v>
      </c>
      <c r="E26" s="96"/>
    </row>
    <row r="27" spans="1:8" ht="62.25" customHeight="1" x14ac:dyDescent="0.2">
      <c r="A27" s="95" t="s">
        <v>188</v>
      </c>
      <c r="B27" s="94" t="s">
        <v>189</v>
      </c>
      <c r="C27" s="94" t="s">
        <v>190</v>
      </c>
      <c r="D27" s="93" t="s">
        <v>191</v>
      </c>
      <c r="E27" s="96"/>
    </row>
    <row r="28" spans="1:8" ht="77.25" customHeight="1" x14ac:dyDescent="0.2">
      <c r="A28" s="95" t="s">
        <v>192</v>
      </c>
      <c r="B28" s="94" t="s">
        <v>193</v>
      </c>
      <c r="C28" s="94" t="s">
        <v>194</v>
      </c>
      <c r="D28" s="93" t="s">
        <v>195</v>
      </c>
      <c r="E28" s="96"/>
    </row>
    <row r="29" spans="1:8" ht="102.75" customHeight="1" x14ac:dyDescent="0.2">
      <c r="A29" s="92" t="s">
        <v>196</v>
      </c>
      <c r="B29" s="100" t="s">
        <v>197</v>
      </c>
      <c r="C29" s="100" t="s">
        <v>198</v>
      </c>
      <c r="D29" s="100" t="s">
        <v>199</v>
      </c>
      <c r="E29" s="93"/>
      <c r="F29" s="41"/>
    </row>
    <row r="30" spans="1:8" ht="115.5" x14ac:dyDescent="0.2">
      <c r="A30" s="92" t="s">
        <v>200</v>
      </c>
      <c r="B30" s="94" t="s">
        <v>201</v>
      </c>
      <c r="C30" s="94" t="s">
        <v>202</v>
      </c>
      <c r="D30" s="93" t="s">
        <v>203</v>
      </c>
      <c r="E30" s="93"/>
      <c r="F30" s="4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BD29A-D448-4096-BD63-CC9C8F6C2A5F}">
  <dimension ref="A1:D47"/>
  <sheetViews>
    <sheetView topLeftCell="A13" zoomScale="126" workbookViewId="0">
      <selection activeCell="D21" sqref="D21"/>
    </sheetView>
  </sheetViews>
  <sheetFormatPr defaultColWidth="8.875" defaultRowHeight="16.5" x14ac:dyDescent="0.25"/>
  <cols>
    <col min="1" max="1" width="16.75" style="4" bestFit="1" customWidth="1"/>
    <col min="2" max="2" width="21.875" style="4" customWidth="1"/>
    <col min="3" max="3" width="44.125" style="4" bestFit="1" customWidth="1"/>
    <col min="4" max="4" width="24.5" style="4" bestFit="1" customWidth="1"/>
    <col min="5" max="16384" width="8.875" style="4"/>
  </cols>
  <sheetData>
    <row r="1" spans="1:4" s="55" customFormat="1" ht="17.25" thickBot="1" x14ac:dyDescent="0.3">
      <c r="A1" s="58" t="s">
        <v>204</v>
      </c>
      <c r="B1" s="63" t="s">
        <v>205</v>
      </c>
      <c r="C1" s="63" t="s">
        <v>206</v>
      </c>
      <c r="D1" s="64" t="s">
        <v>207</v>
      </c>
    </row>
    <row r="2" spans="1:4" ht="33.75" thickBot="1" x14ac:dyDescent="0.3">
      <c r="A2" s="65" t="s">
        <v>208</v>
      </c>
      <c r="B2" s="66" t="s">
        <v>209</v>
      </c>
      <c r="C2" s="67" t="s">
        <v>210</v>
      </c>
      <c r="D2" s="68" t="s">
        <v>211</v>
      </c>
    </row>
    <row r="3" spans="1:4" ht="33.75" thickBot="1" x14ac:dyDescent="0.3">
      <c r="A3" s="65" t="s">
        <v>212</v>
      </c>
      <c r="B3" s="66" t="s">
        <v>209</v>
      </c>
      <c r="C3" s="67" t="s">
        <v>213</v>
      </c>
      <c r="D3" s="68" t="s">
        <v>211</v>
      </c>
    </row>
    <row r="4" spans="1:4" ht="33.75" thickBot="1" x14ac:dyDescent="0.3">
      <c r="A4" s="65" t="s">
        <v>214</v>
      </c>
      <c r="B4" s="66" t="s">
        <v>209</v>
      </c>
      <c r="C4" s="67" t="s">
        <v>215</v>
      </c>
      <c r="D4" s="68" t="s">
        <v>216</v>
      </c>
    </row>
    <row r="5" spans="1:4" ht="17.25" thickBot="1" x14ac:dyDescent="0.3">
      <c r="A5" s="65" t="s">
        <v>217</v>
      </c>
      <c r="B5" s="66" t="s">
        <v>209</v>
      </c>
      <c r="C5" s="67" t="s">
        <v>218</v>
      </c>
      <c r="D5" s="68" t="s">
        <v>211</v>
      </c>
    </row>
    <row r="6" spans="1:4" ht="33.75" thickBot="1" x14ac:dyDescent="0.3">
      <c r="A6" s="69" t="s">
        <v>219</v>
      </c>
      <c r="B6" s="70" t="s">
        <v>209</v>
      </c>
      <c r="C6" s="71" t="s">
        <v>220</v>
      </c>
      <c r="D6" s="72" t="s">
        <v>221</v>
      </c>
    </row>
    <row r="7" spans="1:4" ht="50.25" thickBot="1" x14ac:dyDescent="0.3">
      <c r="A7" s="69" t="s">
        <v>222</v>
      </c>
      <c r="B7" s="70" t="s">
        <v>209</v>
      </c>
      <c r="C7" s="73" t="s">
        <v>223</v>
      </c>
      <c r="D7" s="74" t="s">
        <v>211</v>
      </c>
    </row>
    <row r="8" spans="1:4" ht="33.75" thickBot="1" x14ac:dyDescent="0.3">
      <c r="A8" s="57" t="s">
        <v>224</v>
      </c>
      <c r="B8" s="14" t="s">
        <v>225</v>
      </c>
      <c r="C8" s="18" t="s">
        <v>226</v>
      </c>
      <c r="D8" s="15" t="s">
        <v>211</v>
      </c>
    </row>
    <row r="9" spans="1:4" ht="33.75" thickBot="1" x14ac:dyDescent="0.3">
      <c r="A9" s="57" t="s">
        <v>227</v>
      </c>
      <c r="B9" s="16" t="s">
        <v>225</v>
      </c>
      <c r="C9" s="19" t="s">
        <v>228</v>
      </c>
      <c r="D9" s="17" t="s">
        <v>211</v>
      </c>
    </row>
    <row r="10" spans="1:4" ht="33.75" thickBot="1" x14ac:dyDescent="0.3">
      <c r="A10" s="57" t="s">
        <v>229</v>
      </c>
      <c r="B10" s="16" t="s">
        <v>225</v>
      </c>
      <c r="C10" s="18" t="s">
        <v>215</v>
      </c>
      <c r="D10" s="15" t="s">
        <v>216</v>
      </c>
    </row>
    <row r="11" spans="1:4" ht="33.75" thickBot="1" x14ac:dyDescent="0.3">
      <c r="A11" s="57" t="s">
        <v>230</v>
      </c>
      <c r="B11" s="14" t="s">
        <v>225</v>
      </c>
      <c r="C11" s="19" t="s">
        <v>220</v>
      </c>
      <c r="D11" s="15" t="s">
        <v>216</v>
      </c>
    </row>
    <row r="12" spans="1:4" ht="17.25" thickBot="1" x14ac:dyDescent="0.3">
      <c r="A12" s="59" t="s">
        <v>231</v>
      </c>
      <c r="B12" s="42" t="s">
        <v>232</v>
      </c>
      <c r="C12" s="43" t="s">
        <v>233</v>
      </c>
      <c r="D12" s="44" t="s">
        <v>216</v>
      </c>
    </row>
    <row r="13" spans="1:4" ht="33.75" thickBot="1" x14ac:dyDescent="0.3">
      <c r="A13" s="59" t="s">
        <v>234</v>
      </c>
      <c r="B13" s="42" t="s">
        <v>232</v>
      </c>
      <c r="C13" s="43" t="s">
        <v>235</v>
      </c>
      <c r="D13" s="44" t="s">
        <v>216</v>
      </c>
    </row>
    <row r="14" spans="1:4" ht="33.75" thickBot="1" x14ac:dyDescent="0.3">
      <c r="A14" s="60" t="s">
        <v>236</v>
      </c>
      <c r="B14" s="50" t="s">
        <v>237</v>
      </c>
      <c r="C14" s="51" t="s">
        <v>238</v>
      </c>
      <c r="D14" s="52" t="s">
        <v>221</v>
      </c>
    </row>
    <row r="15" spans="1:4" ht="33.75" thickBot="1" x14ac:dyDescent="0.3">
      <c r="A15" s="60" t="s">
        <v>239</v>
      </c>
      <c r="B15" s="50" t="s">
        <v>237</v>
      </c>
      <c r="C15" s="51" t="s">
        <v>240</v>
      </c>
      <c r="D15" s="52" t="s">
        <v>221</v>
      </c>
    </row>
    <row r="16" spans="1:4" ht="33.75" thickBot="1" x14ac:dyDescent="0.3">
      <c r="A16" s="60" t="s">
        <v>241</v>
      </c>
      <c r="B16" s="50" t="s">
        <v>237</v>
      </c>
      <c r="C16" s="51" t="s">
        <v>242</v>
      </c>
      <c r="D16" s="52" t="s">
        <v>221</v>
      </c>
    </row>
    <row r="17" spans="1:4" ht="33.75" thickBot="1" x14ac:dyDescent="0.3">
      <c r="A17" s="61" t="s">
        <v>243</v>
      </c>
      <c r="B17" s="45" t="s">
        <v>244</v>
      </c>
      <c r="C17" s="101" t="s">
        <v>245</v>
      </c>
      <c r="D17" s="44" t="s">
        <v>211</v>
      </c>
    </row>
    <row r="18" spans="1:4" ht="17.25" thickBot="1" x14ac:dyDescent="0.3">
      <c r="A18" s="61" t="s">
        <v>246</v>
      </c>
      <c r="B18" s="45" t="s">
        <v>244</v>
      </c>
      <c r="C18" s="43" t="s">
        <v>247</v>
      </c>
      <c r="D18" s="44" t="s">
        <v>211</v>
      </c>
    </row>
    <row r="19" spans="1:4" ht="33.75" thickBot="1" x14ac:dyDescent="0.3">
      <c r="A19" s="61" t="s">
        <v>248</v>
      </c>
      <c r="B19" s="45" t="s">
        <v>244</v>
      </c>
      <c r="C19" s="43" t="s">
        <v>249</v>
      </c>
      <c r="D19" s="44" t="s">
        <v>211</v>
      </c>
    </row>
    <row r="20" spans="1:4" ht="33.75" thickBot="1" x14ac:dyDescent="0.3">
      <c r="A20" s="61" t="s">
        <v>250</v>
      </c>
      <c r="B20" s="45" t="s">
        <v>244</v>
      </c>
      <c r="C20" s="43" t="s">
        <v>251</v>
      </c>
      <c r="D20" s="44" t="s">
        <v>216</v>
      </c>
    </row>
    <row r="21" spans="1:4" ht="33.75" thickBot="1" x14ac:dyDescent="0.3">
      <c r="A21" s="61" t="s">
        <v>252</v>
      </c>
      <c r="B21" s="45" t="s">
        <v>244</v>
      </c>
      <c r="C21" s="43" t="s">
        <v>253</v>
      </c>
      <c r="D21" s="44" t="s">
        <v>211</v>
      </c>
    </row>
    <row r="22" spans="1:4" ht="17.25" thickBot="1" x14ac:dyDescent="0.3">
      <c r="A22" s="61" t="s">
        <v>254</v>
      </c>
      <c r="B22" s="45" t="s">
        <v>244</v>
      </c>
      <c r="C22" s="43" t="s">
        <v>255</v>
      </c>
      <c r="D22" s="44" t="s">
        <v>216</v>
      </c>
    </row>
    <row r="23" spans="1:4" ht="50.25" thickBot="1" x14ac:dyDescent="0.3">
      <c r="A23" s="61" t="s">
        <v>256</v>
      </c>
      <c r="B23" s="45" t="s">
        <v>244</v>
      </c>
      <c r="C23" s="43" t="s">
        <v>257</v>
      </c>
      <c r="D23" s="44" t="s">
        <v>211</v>
      </c>
    </row>
    <row r="24" spans="1:4" ht="33.75" thickBot="1" x14ac:dyDescent="0.3">
      <c r="A24" s="60" t="s">
        <v>258</v>
      </c>
      <c r="B24" s="50" t="s">
        <v>259</v>
      </c>
      <c r="C24" s="51" t="s">
        <v>260</v>
      </c>
      <c r="D24" s="52" t="s">
        <v>211</v>
      </c>
    </row>
    <row r="25" spans="1:4" ht="33.75" thickBot="1" x14ac:dyDescent="0.3">
      <c r="A25" s="60" t="s">
        <v>261</v>
      </c>
      <c r="B25" s="50" t="s">
        <v>259</v>
      </c>
      <c r="C25" s="51" t="s">
        <v>262</v>
      </c>
      <c r="D25" s="52" t="s">
        <v>216</v>
      </c>
    </row>
    <row r="26" spans="1:4" ht="33.75" thickBot="1" x14ac:dyDescent="0.3">
      <c r="A26" s="60" t="s">
        <v>263</v>
      </c>
      <c r="B26" s="50" t="s">
        <v>259</v>
      </c>
      <c r="C26" s="51" t="s">
        <v>264</v>
      </c>
      <c r="D26" s="52" t="s">
        <v>216</v>
      </c>
    </row>
    <row r="27" spans="1:4" ht="33.75" thickBot="1" x14ac:dyDescent="0.3">
      <c r="A27" s="61" t="s">
        <v>265</v>
      </c>
      <c r="B27" s="45" t="s">
        <v>266</v>
      </c>
      <c r="C27" s="43" t="s">
        <v>267</v>
      </c>
      <c r="D27" s="44" t="s">
        <v>211</v>
      </c>
    </row>
    <row r="28" spans="1:4" ht="33.75" thickBot="1" x14ac:dyDescent="0.3">
      <c r="A28" s="61" t="s">
        <v>268</v>
      </c>
      <c r="B28" s="45" t="s">
        <v>266</v>
      </c>
      <c r="C28" s="43" t="s">
        <v>269</v>
      </c>
      <c r="D28" s="44" t="s">
        <v>211</v>
      </c>
    </row>
    <row r="29" spans="1:4" ht="33.75" thickBot="1" x14ac:dyDescent="0.3">
      <c r="A29" s="61" t="s">
        <v>270</v>
      </c>
      <c r="B29" s="45" t="s">
        <v>266</v>
      </c>
      <c r="C29" s="43" t="s">
        <v>271</v>
      </c>
      <c r="D29" s="44" t="s">
        <v>211</v>
      </c>
    </row>
    <row r="30" spans="1:4" ht="50.25" thickBot="1" x14ac:dyDescent="0.3">
      <c r="A30" s="61" t="s">
        <v>272</v>
      </c>
      <c r="B30" s="45" t="s">
        <v>266</v>
      </c>
      <c r="C30" s="43" t="s">
        <v>273</v>
      </c>
      <c r="D30" s="44" t="s">
        <v>211</v>
      </c>
    </row>
    <row r="31" spans="1:4" ht="33.75" thickBot="1" x14ac:dyDescent="0.3">
      <c r="A31" s="61" t="s">
        <v>274</v>
      </c>
      <c r="B31" s="45" t="s">
        <v>275</v>
      </c>
      <c r="C31" s="43" t="s">
        <v>276</v>
      </c>
      <c r="D31" s="44" t="s">
        <v>216</v>
      </c>
    </row>
    <row r="32" spans="1:4" ht="33.75" thickBot="1" x14ac:dyDescent="0.3">
      <c r="A32" s="61" t="s">
        <v>277</v>
      </c>
      <c r="B32" s="45" t="s">
        <v>275</v>
      </c>
      <c r="C32" s="43" t="s">
        <v>278</v>
      </c>
      <c r="D32" s="44" t="s">
        <v>216</v>
      </c>
    </row>
    <row r="33" spans="1:4" ht="33.75" thickBot="1" x14ac:dyDescent="0.3">
      <c r="A33" s="61" t="s">
        <v>279</v>
      </c>
      <c r="B33" s="45" t="s">
        <v>280</v>
      </c>
      <c r="C33" s="43" t="s">
        <v>281</v>
      </c>
      <c r="D33" s="44" t="s">
        <v>211</v>
      </c>
    </row>
    <row r="34" spans="1:4" ht="33.75" thickBot="1" x14ac:dyDescent="0.3">
      <c r="A34" s="62" t="s">
        <v>282</v>
      </c>
      <c r="B34" s="39" t="s">
        <v>283</v>
      </c>
      <c r="C34" s="43" t="s">
        <v>284</v>
      </c>
      <c r="D34" s="15" t="s">
        <v>211</v>
      </c>
    </row>
    <row r="35" spans="1:4" ht="50.25" thickBot="1" x14ac:dyDescent="0.3">
      <c r="A35" s="62" t="s">
        <v>285</v>
      </c>
      <c r="B35" s="39" t="s">
        <v>283</v>
      </c>
      <c r="C35" s="43" t="s">
        <v>286</v>
      </c>
      <c r="D35" s="15" t="s">
        <v>211</v>
      </c>
    </row>
    <row r="36" spans="1:4" ht="33.75" thickBot="1" x14ac:dyDescent="0.3">
      <c r="A36" s="62" t="s">
        <v>287</v>
      </c>
      <c r="B36" s="39" t="s">
        <v>283</v>
      </c>
      <c r="C36" s="47" t="s">
        <v>288</v>
      </c>
      <c r="D36" s="17" t="s">
        <v>216</v>
      </c>
    </row>
    <row r="37" spans="1:4" ht="33.75" thickBot="1" x14ac:dyDescent="0.3">
      <c r="A37" s="59" t="s">
        <v>289</v>
      </c>
      <c r="B37" s="42" t="s">
        <v>290</v>
      </c>
      <c r="C37" s="43" t="s">
        <v>291</v>
      </c>
      <c r="D37" s="44" t="s">
        <v>221</v>
      </c>
    </row>
    <row r="38" spans="1:4" ht="33.75" thickBot="1" x14ac:dyDescent="0.3">
      <c r="A38" s="61" t="s">
        <v>292</v>
      </c>
      <c r="B38" s="42" t="s">
        <v>290</v>
      </c>
      <c r="C38" s="43" t="s">
        <v>293</v>
      </c>
      <c r="D38" s="44" t="s">
        <v>221</v>
      </c>
    </row>
    <row r="39" spans="1:4" ht="50.25" thickBot="1" x14ac:dyDescent="0.3">
      <c r="A39" s="61" t="s">
        <v>294</v>
      </c>
      <c r="B39" s="45" t="s">
        <v>295</v>
      </c>
      <c r="C39" s="43" t="s">
        <v>296</v>
      </c>
      <c r="D39" s="44" t="s">
        <v>216</v>
      </c>
    </row>
    <row r="40" spans="1:4" ht="33.75" thickBot="1" x14ac:dyDescent="0.3">
      <c r="A40" s="61" t="s">
        <v>297</v>
      </c>
      <c r="B40" s="45" t="s">
        <v>298</v>
      </c>
      <c r="C40" s="43" t="s">
        <v>299</v>
      </c>
      <c r="D40" s="44" t="s">
        <v>216</v>
      </c>
    </row>
    <row r="41" spans="1:4" ht="33.75" thickBot="1" x14ac:dyDescent="0.3">
      <c r="A41" s="61" t="s">
        <v>300</v>
      </c>
      <c r="B41" s="45" t="s">
        <v>301</v>
      </c>
      <c r="C41" s="43" t="s">
        <v>302</v>
      </c>
      <c r="D41" s="44" t="s">
        <v>221</v>
      </c>
    </row>
    <row r="42" spans="1:4" ht="17.25" thickBot="1" x14ac:dyDescent="0.3">
      <c r="A42" s="61"/>
      <c r="B42" s="45"/>
      <c r="C42" s="43"/>
      <c r="D42" s="44"/>
    </row>
    <row r="43" spans="1:4" x14ac:dyDescent="0.25">
      <c r="A43" s="61"/>
      <c r="B43" s="45"/>
      <c r="C43" s="47"/>
      <c r="D43" s="48"/>
    </row>
    <row r="44" spans="1:4" x14ac:dyDescent="0.25">
      <c r="A44" s="49"/>
      <c r="B44" s="49"/>
      <c r="C44" s="49"/>
      <c r="D44" s="49"/>
    </row>
    <row r="45" spans="1:4" x14ac:dyDescent="0.25">
      <c r="A45" s="49"/>
      <c r="B45" s="49"/>
      <c r="C45" s="49"/>
      <c r="D45" s="49"/>
    </row>
    <row r="46" spans="1:4" x14ac:dyDescent="0.25">
      <c r="A46" s="49"/>
      <c r="B46" s="49"/>
      <c r="C46" s="49"/>
      <c r="D46" s="49"/>
    </row>
    <row r="47" spans="1:4" x14ac:dyDescent="0.25">
      <c r="A47" s="49"/>
      <c r="B47" s="49"/>
      <c r="C47" s="49"/>
      <c r="D47" s="49"/>
    </row>
  </sheetData>
  <phoneticPr fontId="1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72BB7-43EE-4CDB-9831-2912ED4C1785}">
  <dimension ref="A1:Z1000"/>
  <sheetViews>
    <sheetView tabSelected="1" zoomScale="91" workbookViewId="0">
      <selection activeCell="D11" sqref="D11"/>
    </sheetView>
  </sheetViews>
  <sheetFormatPr defaultColWidth="34" defaultRowHeight="16.5" x14ac:dyDescent="0.25"/>
  <cols>
    <col min="1" max="1" width="16.625" style="4" bestFit="1" customWidth="1"/>
    <col min="2" max="2" width="16" style="4" bestFit="1" customWidth="1"/>
    <col min="3" max="3" width="33.625" style="4" bestFit="1" customWidth="1"/>
    <col min="4" max="4" width="40.25" style="4" bestFit="1" customWidth="1"/>
    <col min="5" max="5" width="38.375" style="4" bestFit="1" customWidth="1"/>
    <col min="6" max="6" width="31.875" style="4" bestFit="1" customWidth="1"/>
    <col min="7" max="7" width="38.875" style="4" bestFit="1" customWidth="1"/>
    <col min="8" max="8" width="34.125" style="4" bestFit="1" customWidth="1"/>
    <col min="9" max="9" width="22.625" style="4" bestFit="1" customWidth="1"/>
    <col min="10" max="10" width="17.375" style="4" bestFit="1" customWidth="1"/>
    <col min="11" max="11" width="18.125" customWidth="1"/>
    <col min="12" max="12" width="11.75" bestFit="1" customWidth="1"/>
    <col min="13" max="13" width="12" bestFit="1" customWidth="1"/>
    <col min="14" max="14" width="17.25" bestFit="1" customWidth="1"/>
    <col min="15" max="15" width="17.5" bestFit="1" customWidth="1"/>
  </cols>
  <sheetData>
    <row r="1" spans="1:26" s="12" customFormat="1" ht="17.25" thickBot="1" x14ac:dyDescent="0.25">
      <c r="A1" s="26" t="s">
        <v>303</v>
      </c>
      <c r="B1" s="26" t="s">
        <v>204</v>
      </c>
      <c r="C1" s="26" t="s">
        <v>304</v>
      </c>
      <c r="D1" s="26" t="s">
        <v>305</v>
      </c>
      <c r="E1" s="26" t="s">
        <v>306</v>
      </c>
      <c r="F1" s="26" t="s">
        <v>307</v>
      </c>
      <c r="G1" s="26" t="s">
        <v>308</v>
      </c>
      <c r="H1" s="26" t="s">
        <v>309</v>
      </c>
      <c r="I1" s="27" t="s">
        <v>56</v>
      </c>
      <c r="J1" s="26" t="s">
        <v>310</v>
      </c>
      <c r="K1" s="11"/>
      <c r="L1" s="8" t="s">
        <v>311</v>
      </c>
      <c r="M1" s="9" t="s">
        <v>312</v>
      </c>
      <c r="N1" s="9" t="s">
        <v>313</v>
      </c>
      <c r="O1" s="10" t="s">
        <v>314</v>
      </c>
      <c r="P1" s="11"/>
      <c r="Q1" s="11"/>
      <c r="R1" s="11"/>
      <c r="S1" s="11"/>
      <c r="T1" s="11"/>
      <c r="U1" s="11"/>
      <c r="V1" s="11"/>
      <c r="W1" s="11"/>
      <c r="X1" s="11"/>
      <c r="Y1" s="11"/>
      <c r="Z1" s="11"/>
    </row>
    <row r="2" spans="1:26" ht="33.75" thickBot="1" x14ac:dyDescent="0.3">
      <c r="A2" s="102" t="s">
        <v>450</v>
      </c>
      <c r="B2" s="61" t="s">
        <v>265</v>
      </c>
      <c r="C2" s="102" t="s">
        <v>470</v>
      </c>
      <c r="D2" s="6"/>
      <c r="E2" s="6"/>
      <c r="F2" s="6"/>
      <c r="G2" s="6"/>
      <c r="H2" s="6"/>
      <c r="I2" s="6"/>
      <c r="J2" s="6"/>
      <c r="K2" s="5"/>
      <c r="L2" s="53" t="s">
        <v>61</v>
      </c>
      <c r="M2" s="53">
        <f>COUNTIF($I$2:$I$150,"Pass")</f>
        <v>0</v>
      </c>
      <c r="N2" s="53" t="s">
        <v>321</v>
      </c>
      <c r="O2" s="53">
        <f>COUNTIF($J$2:$J$150,"Critical ")</f>
        <v>0</v>
      </c>
      <c r="P2" s="5"/>
      <c r="Q2" s="5"/>
      <c r="R2" s="5"/>
      <c r="S2" s="5"/>
      <c r="T2" s="5"/>
      <c r="U2" s="5"/>
      <c r="V2" s="5"/>
      <c r="W2" s="5"/>
      <c r="X2" s="5"/>
      <c r="Y2" s="5"/>
      <c r="Z2" s="5"/>
    </row>
    <row r="3" spans="1:26" ht="17.25" thickBot="1" x14ac:dyDescent="0.3">
      <c r="A3" s="102" t="s">
        <v>451</v>
      </c>
      <c r="B3" s="56"/>
      <c r="C3" s="6"/>
      <c r="D3" s="6"/>
      <c r="E3" s="6"/>
      <c r="F3" s="6"/>
      <c r="G3" s="6"/>
      <c r="H3" s="6"/>
      <c r="I3" s="6"/>
      <c r="J3" s="6"/>
      <c r="K3" s="5"/>
      <c r="L3" s="54" t="s">
        <v>327</v>
      </c>
      <c r="M3" s="53">
        <f>COUNTIF($I$2:$I$150,"Fail")</f>
        <v>0</v>
      </c>
      <c r="N3" s="54" t="s">
        <v>211</v>
      </c>
      <c r="O3" s="53">
        <f>COUNTIF($J$2:$J$150,"High")</f>
        <v>0</v>
      </c>
      <c r="P3" s="5"/>
      <c r="Q3" s="5"/>
      <c r="R3" s="5"/>
      <c r="S3" s="5"/>
      <c r="T3" s="5"/>
      <c r="U3" s="5"/>
      <c r="V3" s="5"/>
      <c r="W3" s="5"/>
      <c r="X3" s="5"/>
      <c r="Y3" s="5"/>
      <c r="Z3" s="5"/>
    </row>
    <row r="4" spans="1:26" ht="17.25" thickBot="1" x14ac:dyDescent="0.3">
      <c r="A4" s="102" t="s">
        <v>452</v>
      </c>
      <c r="B4" s="56"/>
      <c r="C4" s="6"/>
      <c r="D4" s="6"/>
      <c r="E4" s="6"/>
      <c r="F4" s="6"/>
      <c r="G4" s="6"/>
      <c r="H4" s="6"/>
      <c r="I4" s="6"/>
      <c r="J4" s="6"/>
      <c r="K4" s="5"/>
      <c r="L4" s="75" t="s">
        <v>333</v>
      </c>
      <c r="M4" s="53">
        <f>COUNTIF($I$2:$I$150,"EX")</f>
        <v>0</v>
      </c>
      <c r="N4" s="54" t="s">
        <v>216</v>
      </c>
      <c r="O4" s="53">
        <f>COUNTIF($J$2:$J$150,"Medium"
)</f>
        <v>0</v>
      </c>
      <c r="P4" s="5"/>
      <c r="Q4" s="5"/>
      <c r="R4" s="5"/>
      <c r="S4" s="5"/>
      <c r="T4" s="5"/>
      <c r="U4" s="5"/>
      <c r="V4" s="5"/>
      <c r="W4" s="5"/>
      <c r="X4" s="5"/>
      <c r="Y4" s="5"/>
      <c r="Z4" s="5"/>
    </row>
    <row r="5" spans="1:26" ht="17.25" thickBot="1" x14ac:dyDescent="0.3">
      <c r="A5" s="102" t="s">
        <v>453</v>
      </c>
      <c r="B5" s="56"/>
      <c r="C5" s="6"/>
      <c r="D5" s="6"/>
      <c r="E5" s="6"/>
      <c r="F5" s="6"/>
      <c r="G5" s="6"/>
      <c r="H5" s="6"/>
      <c r="I5" s="6"/>
      <c r="J5" s="6"/>
      <c r="K5" s="5"/>
      <c r="L5" s="54" t="s">
        <v>339</v>
      </c>
      <c r="M5" s="53">
        <f>SUM(M2:M4)</f>
        <v>0</v>
      </c>
      <c r="N5" s="54" t="s">
        <v>221</v>
      </c>
      <c r="O5" s="53">
        <f>COUNTIF($J$2:$J$150,"Low"
)</f>
        <v>0</v>
      </c>
      <c r="P5" s="5"/>
      <c r="Q5" s="5"/>
      <c r="R5" s="5"/>
      <c r="S5" s="5"/>
      <c r="T5" s="5"/>
      <c r="U5" s="5"/>
      <c r="V5" s="5"/>
      <c r="W5" s="5"/>
      <c r="X5" s="5"/>
      <c r="Y5" s="5"/>
      <c r="Z5" s="5"/>
    </row>
    <row r="6" spans="1:26" ht="17.25" thickBot="1" x14ac:dyDescent="0.3">
      <c r="A6" s="102" t="s">
        <v>454</v>
      </c>
      <c r="B6" s="56"/>
      <c r="C6" s="6"/>
      <c r="D6" s="6"/>
      <c r="E6" s="6"/>
      <c r="F6" s="6"/>
      <c r="G6" s="6"/>
      <c r="H6" s="6"/>
      <c r="I6" s="6"/>
      <c r="J6" s="6"/>
      <c r="K6" s="5"/>
      <c r="L6" s="5"/>
      <c r="M6" s="5"/>
      <c r="N6" s="5"/>
      <c r="O6" s="5"/>
      <c r="P6" s="5"/>
      <c r="Q6" s="5"/>
      <c r="R6" s="5"/>
      <c r="S6" s="5"/>
      <c r="T6" s="5"/>
      <c r="U6" s="5"/>
      <c r="V6" s="5"/>
      <c r="W6" s="5"/>
      <c r="X6" s="5"/>
      <c r="Y6" s="5"/>
      <c r="Z6" s="5"/>
    </row>
    <row r="7" spans="1:26" ht="17.25" thickBot="1" x14ac:dyDescent="0.3">
      <c r="A7" s="102" t="s">
        <v>455</v>
      </c>
      <c r="B7" s="56"/>
      <c r="C7" s="6"/>
      <c r="D7" s="6"/>
      <c r="E7" s="6"/>
      <c r="F7" s="6"/>
      <c r="G7" s="6"/>
      <c r="H7" s="6"/>
      <c r="I7" s="6"/>
      <c r="J7" s="6"/>
      <c r="K7" s="5"/>
      <c r="L7" s="5"/>
      <c r="M7" s="5"/>
      <c r="N7" s="5"/>
      <c r="O7" s="5"/>
      <c r="P7" s="5"/>
      <c r="Q7" s="5"/>
      <c r="R7" s="5"/>
      <c r="S7" s="5"/>
      <c r="T7" s="5"/>
      <c r="U7" s="5"/>
      <c r="V7" s="5"/>
      <c r="W7" s="5"/>
      <c r="X7" s="5"/>
      <c r="Y7" s="5"/>
      <c r="Z7" s="5"/>
    </row>
    <row r="8" spans="1:26" ht="17.25" thickBot="1" x14ac:dyDescent="0.3">
      <c r="A8" s="102" t="s">
        <v>456</v>
      </c>
      <c r="B8" s="56"/>
      <c r="C8" s="6"/>
      <c r="D8" s="6"/>
      <c r="E8" s="6"/>
      <c r="F8" s="6"/>
      <c r="G8" s="6"/>
      <c r="H8" s="6"/>
      <c r="I8" s="6"/>
      <c r="J8" s="6"/>
      <c r="K8" s="5"/>
      <c r="L8" s="5"/>
      <c r="M8" s="5"/>
      <c r="N8" s="5"/>
      <c r="O8" s="5"/>
      <c r="P8" s="5"/>
      <c r="Q8" s="5"/>
      <c r="R8" s="5"/>
      <c r="S8" s="5"/>
      <c r="T8" s="5"/>
      <c r="U8" s="5"/>
      <c r="V8" s="5"/>
      <c r="W8" s="5"/>
      <c r="X8" s="5"/>
      <c r="Y8" s="5"/>
      <c r="Z8" s="5"/>
    </row>
    <row r="9" spans="1:26" ht="17.25" thickBot="1" x14ac:dyDescent="0.3">
      <c r="A9" s="102" t="s">
        <v>457</v>
      </c>
      <c r="B9" s="56"/>
      <c r="C9" s="6"/>
      <c r="D9" s="6"/>
      <c r="E9" s="6"/>
      <c r="F9" s="6"/>
      <c r="G9" s="6"/>
      <c r="H9" s="6"/>
      <c r="I9" s="6"/>
      <c r="J9" s="6"/>
      <c r="K9" s="5"/>
      <c r="L9" s="5"/>
      <c r="M9" s="5"/>
      <c r="N9" s="5"/>
      <c r="O9" s="5"/>
      <c r="P9" s="5"/>
      <c r="Q9" s="5"/>
      <c r="R9" s="5"/>
      <c r="S9" s="5"/>
      <c r="T9" s="5"/>
      <c r="U9" s="5"/>
      <c r="V9" s="5"/>
      <c r="W9" s="5"/>
      <c r="X9" s="5"/>
      <c r="Y9" s="5"/>
      <c r="Z9" s="5"/>
    </row>
    <row r="10" spans="1:26" ht="17.25" thickBot="1" x14ac:dyDescent="0.3">
      <c r="A10" s="102" t="s">
        <v>458</v>
      </c>
      <c r="B10" s="56"/>
      <c r="C10" s="6"/>
      <c r="D10" s="6"/>
      <c r="E10" s="6"/>
      <c r="F10" s="6"/>
      <c r="G10" s="6"/>
      <c r="H10" s="6"/>
      <c r="I10" s="6"/>
      <c r="J10" s="6"/>
      <c r="K10" s="5"/>
      <c r="L10" s="5"/>
      <c r="M10" s="5"/>
      <c r="N10" s="5"/>
      <c r="O10" s="5"/>
      <c r="P10" s="5"/>
      <c r="Q10" s="5"/>
      <c r="R10" s="5"/>
      <c r="S10" s="5"/>
      <c r="T10" s="5"/>
      <c r="U10" s="5"/>
      <c r="V10" s="5"/>
      <c r="W10" s="5"/>
      <c r="X10" s="5"/>
      <c r="Y10" s="5"/>
      <c r="Z10" s="5"/>
    </row>
    <row r="11" spans="1:26" ht="17.25" thickBot="1" x14ac:dyDescent="0.3">
      <c r="A11" s="102" t="s">
        <v>459</v>
      </c>
      <c r="B11" s="56"/>
      <c r="C11" s="6"/>
      <c r="D11" s="6"/>
      <c r="E11" s="6"/>
      <c r="F11" s="6"/>
      <c r="G11" s="6"/>
      <c r="H11" s="6"/>
      <c r="I11" s="6"/>
      <c r="J11" s="6"/>
      <c r="K11" s="5"/>
      <c r="L11" s="5"/>
      <c r="M11" s="5"/>
      <c r="N11" s="5"/>
      <c r="O11" s="5"/>
      <c r="P11" s="5"/>
      <c r="Q11" s="5"/>
      <c r="R11" s="5"/>
      <c r="S11" s="5"/>
      <c r="T11" s="5"/>
      <c r="U11" s="5"/>
      <c r="V11" s="5"/>
      <c r="W11" s="5"/>
      <c r="X11" s="5"/>
      <c r="Y11" s="5"/>
      <c r="Z11" s="5"/>
    </row>
    <row r="12" spans="1:26" ht="17.25" thickBot="1" x14ac:dyDescent="0.3">
      <c r="A12" s="102" t="s">
        <v>460</v>
      </c>
      <c r="B12" s="76"/>
      <c r="C12" s="77"/>
      <c r="D12" s="6"/>
      <c r="E12" s="6"/>
      <c r="F12" s="6"/>
      <c r="G12" s="6"/>
      <c r="H12" s="6"/>
      <c r="I12" s="6"/>
      <c r="J12" s="6"/>
      <c r="K12" s="5"/>
      <c r="L12" s="5"/>
      <c r="M12" s="5"/>
      <c r="N12" s="5"/>
      <c r="O12" s="5"/>
      <c r="P12" s="5"/>
      <c r="Q12" s="5"/>
      <c r="R12" s="5"/>
      <c r="S12" s="5"/>
      <c r="T12" s="5"/>
      <c r="U12" s="5"/>
      <c r="V12" s="5"/>
      <c r="W12" s="5"/>
      <c r="X12" s="5"/>
      <c r="Y12" s="5"/>
      <c r="Z12" s="5"/>
    </row>
    <row r="13" spans="1:26" ht="17.25" thickBot="1" x14ac:dyDescent="0.3">
      <c r="A13" s="102" t="s">
        <v>461</v>
      </c>
      <c r="B13" s="76"/>
      <c r="C13" s="77"/>
      <c r="D13" s="6"/>
      <c r="E13" s="6"/>
      <c r="F13" s="6"/>
      <c r="G13" s="6"/>
      <c r="H13" s="6"/>
      <c r="I13" s="6"/>
      <c r="J13" s="6"/>
      <c r="K13" s="5"/>
      <c r="L13" s="5"/>
      <c r="M13" s="5"/>
      <c r="N13" s="5"/>
      <c r="O13" s="5"/>
      <c r="P13" s="5"/>
      <c r="Q13" s="5"/>
      <c r="R13" s="5"/>
      <c r="S13" s="5"/>
      <c r="T13" s="5"/>
      <c r="U13" s="5"/>
      <c r="V13" s="5"/>
      <c r="W13" s="5"/>
      <c r="X13" s="5"/>
      <c r="Y13" s="5"/>
      <c r="Z13" s="5"/>
    </row>
    <row r="14" spans="1:26" ht="17.25" thickBot="1" x14ac:dyDescent="0.3">
      <c r="A14" s="102" t="s">
        <v>462</v>
      </c>
      <c r="B14" s="76"/>
      <c r="C14" s="6"/>
      <c r="D14" s="6"/>
      <c r="E14" s="6"/>
      <c r="F14" s="6"/>
      <c r="G14" s="6"/>
      <c r="H14" s="6"/>
      <c r="I14" s="6"/>
      <c r="J14" s="6"/>
      <c r="K14" s="5"/>
      <c r="L14" s="5"/>
      <c r="M14" s="5"/>
      <c r="N14" s="5"/>
      <c r="O14" s="5"/>
      <c r="P14" s="5"/>
      <c r="Q14" s="5"/>
      <c r="R14" s="5"/>
      <c r="S14" s="5"/>
      <c r="T14" s="5"/>
      <c r="U14" s="5"/>
      <c r="V14" s="5"/>
      <c r="W14" s="5"/>
      <c r="X14" s="5"/>
      <c r="Y14" s="5"/>
      <c r="Z14" s="5"/>
    </row>
    <row r="15" spans="1:26" ht="17.25" thickBot="1" x14ac:dyDescent="0.3">
      <c r="A15" s="102" t="s">
        <v>463</v>
      </c>
      <c r="B15" s="76"/>
      <c r="C15" s="6"/>
      <c r="D15" s="6"/>
      <c r="E15" s="6"/>
      <c r="F15" s="6"/>
      <c r="G15" s="6"/>
      <c r="H15" s="6"/>
      <c r="I15" s="6"/>
      <c r="J15" s="6"/>
      <c r="K15" s="5"/>
      <c r="L15" s="5"/>
      <c r="M15" s="5"/>
      <c r="N15" s="5"/>
      <c r="O15" s="5"/>
      <c r="P15" s="5"/>
      <c r="Q15" s="5"/>
      <c r="R15" s="5"/>
      <c r="S15" s="5"/>
      <c r="T15" s="5"/>
      <c r="U15" s="5"/>
      <c r="V15" s="5"/>
      <c r="W15" s="5"/>
      <c r="X15" s="5"/>
      <c r="Y15" s="5"/>
      <c r="Z15" s="5"/>
    </row>
    <row r="16" spans="1:26" ht="17.25" thickBot="1" x14ac:dyDescent="0.3">
      <c r="A16" s="102" t="s">
        <v>464</v>
      </c>
      <c r="B16" s="6"/>
      <c r="C16" s="6"/>
      <c r="D16" s="6"/>
      <c r="E16" s="6"/>
      <c r="F16" s="6"/>
      <c r="G16" s="6"/>
      <c r="H16" s="6"/>
      <c r="I16" s="6"/>
      <c r="J16" s="6"/>
      <c r="K16" s="5"/>
      <c r="L16" s="5"/>
      <c r="M16" s="5"/>
      <c r="N16" s="5"/>
      <c r="O16" s="5"/>
      <c r="P16" s="5"/>
      <c r="Q16" s="5"/>
      <c r="R16" s="5"/>
      <c r="S16" s="5"/>
      <c r="T16" s="5"/>
      <c r="U16" s="5"/>
      <c r="V16" s="5"/>
      <c r="W16" s="5"/>
      <c r="X16" s="5"/>
      <c r="Y16" s="5"/>
      <c r="Z16" s="5"/>
    </row>
    <row r="17" spans="1:26" ht="17.25" thickBot="1" x14ac:dyDescent="0.3">
      <c r="A17" s="102" t="s">
        <v>465</v>
      </c>
      <c r="B17" s="6"/>
      <c r="C17" s="6"/>
      <c r="D17" s="6"/>
      <c r="E17" s="6"/>
      <c r="F17" s="6"/>
      <c r="G17" s="6"/>
      <c r="H17" s="6"/>
      <c r="I17" s="6"/>
      <c r="J17" s="6"/>
      <c r="K17" s="5"/>
      <c r="L17" s="5"/>
      <c r="M17" s="5"/>
      <c r="N17" s="5"/>
      <c r="O17" s="5"/>
      <c r="P17" s="5"/>
      <c r="Q17" s="5"/>
      <c r="R17" s="5"/>
      <c r="S17" s="5"/>
      <c r="T17" s="5"/>
      <c r="U17" s="5"/>
      <c r="V17" s="5"/>
      <c r="W17" s="5"/>
      <c r="X17" s="5"/>
      <c r="Y17" s="5"/>
      <c r="Z17" s="5"/>
    </row>
    <row r="18" spans="1:26" ht="17.25" thickBot="1" x14ac:dyDescent="0.3">
      <c r="A18" s="102" t="s">
        <v>466</v>
      </c>
      <c r="B18" s="6"/>
      <c r="C18" s="6"/>
      <c r="D18" s="6"/>
      <c r="E18" s="6"/>
      <c r="F18" s="6"/>
      <c r="G18" s="6"/>
      <c r="H18" s="6"/>
      <c r="I18" s="6"/>
      <c r="J18" s="6"/>
      <c r="K18" s="5"/>
      <c r="L18" s="5"/>
      <c r="M18" s="5"/>
      <c r="N18" s="5"/>
      <c r="O18" s="5"/>
      <c r="P18" s="5"/>
      <c r="Q18" s="5"/>
      <c r="R18" s="5"/>
      <c r="S18" s="5"/>
      <c r="T18" s="5"/>
      <c r="U18" s="5"/>
      <c r="V18" s="5"/>
      <c r="W18" s="5"/>
      <c r="X18" s="5"/>
      <c r="Y18" s="5"/>
      <c r="Z18" s="5"/>
    </row>
    <row r="19" spans="1:26" ht="17.25" thickBot="1" x14ac:dyDescent="0.3">
      <c r="A19" s="102" t="s">
        <v>467</v>
      </c>
      <c r="B19" s="6"/>
      <c r="C19" s="6"/>
      <c r="D19" s="6"/>
      <c r="E19" s="6"/>
      <c r="F19" s="6"/>
      <c r="G19" s="6"/>
      <c r="H19" s="6"/>
      <c r="I19" s="6"/>
      <c r="J19" s="49"/>
      <c r="K19" s="5"/>
      <c r="L19" s="5"/>
      <c r="M19" s="5"/>
      <c r="N19" s="5"/>
      <c r="O19" s="5"/>
      <c r="P19" s="5"/>
      <c r="Q19" s="5"/>
      <c r="R19" s="5"/>
      <c r="S19" s="5"/>
      <c r="T19" s="5"/>
      <c r="U19" s="5"/>
      <c r="V19" s="5"/>
      <c r="W19" s="5"/>
      <c r="X19" s="5"/>
      <c r="Y19" s="5"/>
      <c r="Z19" s="5"/>
    </row>
    <row r="20" spans="1:26" ht="17.25" thickBot="1" x14ac:dyDescent="0.3">
      <c r="A20" s="102" t="s">
        <v>468</v>
      </c>
      <c r="B20" s="6"/>
      <c r="C20" s="6"/>
      <c r="D20" s="6"/>
      <c r="E20" s="6"/>
      <c r="F20" s="6"/>
      <c r="G20" s="6"/>
      <c r="H20" s="6"/>
      <c r="I20" s="6"/>
      <c r="J20" s="6"/>
      <c r="K20" s="5"/>
      <c r="L20" s="5"/>
      <c r="M20" s="5"/>
      <c r="N20" s="5"/>
      <c r="O20" s="5"/>
      <c r="P20" s="5"/>
      <c r="Q20" s="5"/>
      <c r="R20" s="5"/>
      <c r="S20" s="5"/>
      <c r="T20" s="5"/>
      <c r="U20" s="5"/>
      <c r="V20" s="5"/>
      <c r="W20" s="5"/>
      <c r="X20" s="5"/>
      <c r="Y20" s="5"/>
      <c r="Z20" s="5"/>
    </row>
    <row r="21" spans="1:26" ht="17.25" thickBot="1" x14ac:dyDescent="0.3">
      <c r="A21" s="102" t="s">
        <v>469</v>
      </c>
      <c r="B21" s="6"/>
      <c r="C21" s="6"/>
      <c r="D21" s="6"/>
      <c r="E21" s="6"/>
      <c r="F21" s="6"/>
      <c r="G21" s="6"/>
      <c r="H21" s="6"/>
      <c r="I21" s="6"/>
      <c r="J21" s="6"/>
      <c r="K21" s="5"/>
      <c r="L21" s="5"/>
      <c r="M21" s="5"/>
      <c r="N21" s="5"/>
      <c r="O21" s="5"/>
      <c r="P21" s="5"/>
      <c r="Q21" s="5"/>
      <c r="R21" s="5"/>
      <c r="S21" s="5"/>
      <c r="T21" s="5"/>
      <c r="U21" s="5"/>
      <c r="V21" s="5"/>
      <c r="W21" s="5"/>
      <c r="X21" s="5"/>
      <c r="Y21" s="5"/>
      <c r="Z21" s="5"/>
    </row>
    <row r="22" spans="1:26" ht="17.25" thickBot="1" x14ac:dyDescent="0.3">
      <c r="A22" s="6"/>
      <c r="B22" s="6"/>
      <c r="C22" s="6"/>
      <c r="D22" s="6"/>
      <c r="E22" s="6"/>
      <c r="F22" s="6"/>
      <c r="G22" s="6"/>
      <c r="H22" s="6"/>
      <c r="I22" s="6"/>
      <c r="J22" s="6"/>
      <c r="K22" s="5"/>
      <c r="L22" s="5"/>
      <c r="M22" s="5"/>
      <c r="N22" s="5"/>
      <c r="O22" s="5"/>
      <c r="P22" s="5"/>
      <c r="Q22" s="5"/>
      <c r="R22" s="5"/>
      <c r="S22" s="5"/>
      <c r="T22" s="5"/>
      <c r="U22" s="5"/>
      <c r="V22" s="5"/>
      <c r="W22" s="5"/>
      <c r="X22" s="5"/>
      <c r="Y22" s="5"/>
      <c r="Z22" s="5"/>
    </row>
    <row r="23" spans="1:26" ht="17.25" thickBot="1" x14ac:dyDescent="0.3">
      <c r="A23" s="6"/>
      <c r="B23" s="6"/>
      <c r="C23" s="6"/>
      <c r="D23" s="6"/>
      <c r="E23" s="6"/>
      <c r="F23" s="6"/>
      <c r="G23" s="6"/>
      <c r="H23" s="6"/>
      <c r="I23" s="6"/>
      <c r="J23" s="6"/>
      <c r="K23" s="5"/>
      <c r="L23" s="5"/>
      <c r="M23" s="5"/>
      <c r="N23" s="5"/>
      <c r="O23" s="5"/>
      <c r="P23" s="5"/>
      <c r="Q23" s="5"/>
      <c r="R23" s="5"/>
      <c r="S23" s="5"/>
      <c r="T23" s="5"/>
      <c r="U23" s="5"/>
      <c r="V23" s="5"/>
      <c r="W23" s="5"/>
      <c r="X23" s="5"/>
      <c r="Y23" s="5"/>
      <c r="Z23" s="5"/>
    </row>
    <row r="24" spans="1:26" ht="17.25" thickBot="1" x14ac:dyDescent="0.3">
      <c r="A24" s="6"/>
      <c r="B24" s="6"/>
      <c r="C24" s="6"/>
      <c r="D24" s="6"/>
      <c r="E24" s="6"/>
      <c r="F24" s="6"/>
      <c r="G24" s="6"/>
      <c r="H24" s="6"/>
      <c r="I24" s="6"/>
      <c r="J24" s="6"/>
      <c r="K24" s="5"/>
      <c r="L24" s="5"/>
      <c r="M24" s="5"/>
      <c r="N24" s="5"/>
      <c r="O24" s="5"/>
      <c r="P24" s="5"/>
      <c r="Q24" s="5"/>
      <c r="R24" s="5"/>
      <c r="S24" s="5"/>
      <c r="T24" s="5"/>
      <c r="U24" s="5"/>
      <c r="V24" s="5"/>
      <c r="W24" s="5"/>
      <c r="X24" s="5"/>
      <c r="Y24" s="5"/>
      <c r="Z24" s="5"/>
    </row>
    <row r="25" spans="1:26" ht="17.25" thickBot="1" x14ac:dyDescent="0.3">
      <c r="A25" s="6"/>
      <c r="B25" s="6"/>
      <c r="C25" s="6"/>
      <c r="D25" s="6"/>
      <c r="E25" s="6"/>
      <c r="F25" s="6"/>
      <c r="G25" s="6"/>
      <c r="H25" s="6"/>
      <c r="I25" s="6"/>
      <c r="J25" s="6"/>
      <c r="K25" s="5"/>
      <c r="L25" s="5"/>
      <c r="M25" s="5"/>
      <c r="N25" s="5"/>
      <c r="O25" s="5"/>
      <c r="P25" s="5"/>
      <c r="Q25" s="5"/>
      <c r="R25" s="5"/>
      <c r="S25" s="5"/>
      <c r="T25" s="5"/>
      <c r="U25" s="5"/>
      <c r="V25" s="5"/>
      <c r="W25" s="5"/>
      <c r="X25" s="5"/>
      <c r="Y25" s="5"/>
      <c r="Z25" s="5"/>
    </row>
    <row r="26" spans="1:26" ht="17.25" thickBot="1" x14ac:dyDescent="0.3">
      <c r="A26" s="6"/>
      <c r="B26" s="6"/>
      <c r="C26" s="6"/>
      <c r="D26" s="6"/>
      <c r="E26" s="6"/>
      <c r="F26" s="6"/>
      <c r="G26" s="6"/>
      <c r="H26" s="6"/>
      <c r="I26" s="6"/>
      <c r="J26" s="6"/>
      <c r="K26" s="5"/>
      <c r="L26" s="5"/>
      <c r="M26" s="5"/>
      <c r="N26" s="5"/>
      <c r="O26" s="5"/>
      <c r="P26" s="5"/>
      <c r="Q26" s="5"/>
      <c r="R26" s="5"/>
      <c r="S26" s="5"/>
      <c r="T26" s="5"/>
      <c r="U26" s="5"/>
      <c r="V26" s="5"/>
      <c r="W26" s="5"/>
      <c r="X26" s="5"/>
      <c r="Y26" s="5"/>
      <c r="Z26" s="5"/>
    </row>
    <row r="27" spans="1:26" ht="17.25" thickBot="1" x14ac:dyDescent="0.3">
      <c r="A27" s="6"/>
      <c r="B27" s="6"/>
      <c r="C27" s="6"/>
      <c r="D27" s="6"/>
      <c r="E27" s="6"/>
      <c r="F27" s="6"/>
      <c r="G27" s="6"/>
      <c r="H27" s="6"/>
      <c r="I27" s="6"/>
      <c r="J27" s="6"/>
      <c r="K27" s="5"/>
      <c r="L27" s="5"/>
      <c r="M27" s="5"/>
      <c r="N27" s="5"/>
      <c r="O27" s="5"/>
      <c r="P27" s="5"/>
      <c r="Q27" s="5"/>
      <c r="R27" s="5"/>
      <c r="S27" s="5"/>
      <c r="T27" s="5"/>
      <c r="U27" s="5"/>
      <c r="V27" s="5"/>
      <c r="W27" s="5"/>
      <c r="X27" s="5"/>
      <c r="Y27" s="5"/>
      <c r="Z27" s="5"/>
    </row>
    <row r="28" spans="1:26" ht="17.25" thickBot="1" x14ac:dyDescent="0.3">
      <c r="A28" s="6"/>
      <c r="B28" s="6"/>
      <c r="C28" s="6"/>
      <c r="D28" s="6"/>
      <c r="E28" s="6"/>
      <c r="F28" s="6"/>
      <c r="G28" s="6"/>
      <c r="H28" s="6"/>
      <c r="I28" s="6"/>
      <c r="J28" s="6"/>
      <c r="K28" s="5"/>
      <c r="L28" s="5"/>
      <c r="M28" s="5"/>
      <c r="N28" s="5"/>
      <c r="O28" s="5"/>
      <c r="P28" s="5"/>
      <c r="Q28" s="5"/>
      <c r="R28" s="5"/>
      <c r="S28" s="5"/>
      <c r="T28" s="5"/>
      <c r="U28" s="5"/>
      <c r="V28" s="5"/>
      <c r="W28" s="5"/>
      <c r="X28" s="5"/>
      <c r="Y28" s="5"/>
      <c r="Z28" s="5"/>
    </row>
    <row r="29" spans="1:26" ht="17.25" thickBot="1" x14ac:dyDescent="0.3">
      <c r="A29" s="6"/>
      <c r="B29" s="6"/>
      <c r="C29" s="6"/>
      <c r="D29" s="6"/>
      <c r="E29" s="6"/>
      <c r="F29" s="6"/>
      <c r="G29" s="6"/>
      <c r="H29" s="6"/>
      <c r="I29" s="6"/>
      <c r="J29" s="6"/>
      <c r="K29" s="5"/>
      <c r="L29" s="5"/>
      <c r="M29" s="5"/>
      <c r="N29" s="5"/>
      <c r="O29" s="5"/>
      <c r="P29" s="5"/>
      <c r="Q29" s="5"/>
      <c r="R29" s="5"/>
      <c r="S29" s="5"/>
      <c r="T29" s="5"/>
      <c r="U29" s="5"/>
      <c r="V29" s="5"/>
      <c r="W29" s="5"/>
      <c r="X29" s="5"/>
      <c r="Y29" s="5"/>
      <c r="Z29" s="5"/>
    </row>
    <row r="30" spans="1:26" ht="17.25" thickBot="1" x14ac:dyDescent="0.3">
      <c r="A30" s="6"/>
      <c r="B30" s="6"/>
      <c r="C30" s="6"/>
      <c r="D30" s="6"/>
      <c r="E30" s="6"/>
      <c r="F30" s="6"/>
      <c r="G30" s="6"/>
      <c r="H30" s="6"/>
      <c r="I30" s="6"/>
      <c r="J30" s="6"/>
      <c r="K30" s="5"/>
      <c r="L30" s="5"/>
      <c r="M30" s="5"/>
      <c r="N30" s="5"/>
      <c r="O30" s="5"/>
      <c r="P30" s="5"/>
      <c r="Q30" s="5"/>
      <c r="R30" s="5"/>
      <c r="S30" s="5"/>
      <c r="T30" s="5"/>
      <c r="U30" s="5"/>
      <c r="V30" s="5"/>
      <c r="W30" s="5"/>
      <c r="X30" s="5"/>
      <c r="Y30" s="5"/>
      <c r="Z30" s="5"/>
    </row>
    <row r="31" spans="1:26" ht="17.25" thickBot="1" x14ac:dyDescent="0.3">
      <c r="A31" s="6"/>
      <c r="B31" s="6"/>
      <c r="C31" s="6"/>
      <c r="D31" s="6"/>
      <c r="E31" s="6"/>
      <c r="F31" s="6"/>
      <c r="G31" s="6"/>
      <c r="H31" s="6"/>
      <c r="I31" s="6"/>
      <c r="J31" s="6"/>
      <c r="K31" s="5"/>
      <c r="L31" s="5"/>
      <c r="M31" s="5"/>
      <c r="N31" s="5"/>
      <c r="O31" s="5"/>
      <c r="P31" s="5"/>
      <c r="Q31" s="5"/>
      <c r="R31" s="5"/>
      <c r="S31" s="5"/>
      <c r="T31" s="5"/>
      <c r="U31" s="5"/>
      <c r="V31" s="5"/>
      <c r="W31" s="5"/>
      <c r="X31" s="5"/>
      <c r="Y31" s="5"/>
      <c r="Z31" s="5"/>
    </row>
    <row r="32" spans="1:26" ht="17.25" thickBot="1" x14ac:dyDescent="0.3">
      <c r="A32" s="6"/>
      <c r="B32" s="6"/>
      <c r="C32" s="6"/>
      <c r="D32" s="6"/>
      <c r="E32" s="6"/>
      <c r="F32" s="6"/>
      <c r="G32" s="6"/>
      <c r="H32" s="6"/>
      <c r="I32" s="6"/>
      <c r="J32" s="6"/>
      <c r="K32" s="5"/>
      <c r="L32" s="5"/>
      <c r="M32" s="5"/>
      <c r="N32" s="5"/>
      <c r="O32" s="5"/>
      <c r="P32" s="5"/>
      <c r="Q32" s="5"/>
      <c r="R32" s="5"/>
      <c r="S32" s="5"/>
      <c r="T32" s="5"/>
      <c r="U32" s="5"/>
      <c r="V32" s="5"/>
      <c r="W32" s="5"/>
      <c r="X32" s="5"/>
      <c r="Y32" s="5"/>
      <c r="Z32" s="5"/>
    </row>
    <row r="33" spans="1:26" ht="17.25" thickBot="1" x14ac:dyDescent="0.3">
      <c r="A33" s="6"/>
      <c r="B33" s="6"/>
      <c r="C33" s="6"/>
      <c r="D33" s="6"/>
      <c r="E33" s="6"/>
      <c r="F33" s="6"/>
      <c r="G33" s="6"/>
      <c r="H33" s="6"/>
      <c r="I33" s="6"/>
      <c r="J33" s="6"/>
      <c r="K33" s="5"/>
      <c r="L33" s="5"/>
      <c r="M33" s="5"/>
      <c r="N33" s="5"/>
      <c r="O33" s="5"/>
      <c r="P33" s="5"/>
      <c r="Q33" s="5"/>
      <c r="R33" s="5"/>
      <c r="S33" s="5"/>
      <c r="T33" s="5"/>
      <c r="U33" s="5"/>
      <c r="V33" s="5"/>
      <c r="W33" s="5"/>
      <c r="X33" s="5"/>
      <c r="Y33" s="5"/>
      <c r="Z33" s="5"/>
    </row>
    <row r="34" spans="1:26" ht="17.25" thickBot="1" x14ac:dyDescent="0.3">
      <c r="A34" s="6"/>
      <c r="B34" s="6"/>
      <c r="C34" s="6"/>
      <c r="D34" s="6"/>
      <c r="E34" s="6"/>
      <c r="F34" s="6"/>
      <c r="G34" s="6"/>
      <c r="H34" s="6"/>
      <c r="I34" s="6"/>
      <c r="J34" s="6"/>
      <c r="K34" s="5"/>
      <c r="L34" s="5"/>
      <c r="M34" s="5"/>
      <c r="N34" s="5"/>
      <c r="O34" s="5"/>
      <c r="P34" s="5"/>
      <c r="Q34" s="5"/>
      <c r="R34" s="5"/>
      <c r="S34" s="5"/>
      <c r="T34" s="5"/>
      <c r="U34" s="5"/>
      <c r="V34" s="5"/>
      <c r="W34" s="5"/>
      <c r="X34" s="5"/>
      <c r="Y34" s="5"/>
      <c r="Z34" s="5"/>
    </row>
    <row r="35" spans="1:26" ht="17.25" thickBot="1" x14ac:dyDescent="0.3">
      <c r="A35" s="6"/>
      <c r="B35" s="6"/>
      <c r="C35" s="6"/>
      <c r="D35" s="6"/>
      <c r="E35" s="6"/>
      <c r="F35" s="6"/>
      <c r="G35" s="6"/>
      <c r="H35" s="6"/>
      <c r="I35" s="6"/>
      <c r="J35" s="6"/>
      <c r="K35" s="5"/>
      <c r="L35" s="5"/>
      <c r="M35" s="5"/>
      <c r="N35" s="5"/>
      <c r="O35" s="5"/>
      <c r="P35" s="5"/>
      <c r="Q35" s="5"/>
      <c r="R35" s="5"/>
      <c r="S35" s="5"/>
      <c r="T35" s="5"/>
      <c r="U35" s="5"/>
      <c r="V35" s="5"/>
      <c r="W35" s="5"/>
      <c r="X35" s="5"/>
      <c r="Y35" s="5"/>
      <c r="Z35" s="5"/>
    </row>
    <row r="36" spans="1:26" ht="17.25" thickBot="1" x14ac:dyDescent="0.3">
      <c r="A36" s="6"/>
      <c r="B36" s="6"/>
      <c r="C36" s="6"/>
      <c r="D36" s="6"/>
      <c r="E36" s="6"/>
      <c r="F36" s="6"/>
      <c r="G36" s="6"/>
      <c r="H36" s="6"/>
      <c r="I36" s="6"/>
      <c r="J36" s="6"/>
      <c r="K36" s="5"/>
      <c r="L36" s="5"/>
      <c r="M36" s="5"/>
      <c r="N36" s="5"/>
      <c r="O36" s="5"/>
      <c r="P36" s="5"/>
      <c r="Q36" s="5"/>
      <c r="R36" s="5"/>
      <c r="S36" s="5"/>
      <c r="T36" s="5"/>
      <c r="U36" s="5"/>
      <c r="V36" s="5"/>
      <c r="W36" s="5"/>
      <c r="X36" s="5"/>
      <c r="Y36" s="5"/>
      <c r="Z36" s="5"/>
    </row>
    <row r="37" spans="1:26" ht="17.25" thickBot="1" x14ac:dyDescent="0.3">
      <c r="A37" s="6"/>
      <c r="B37" s="6"/>
      <c r="C37" s="6"/>
      <c r="D37" s="6"/>
      <c r="E37" s="6"/>
      <c r="F37" s="6"/>
      <c r="G37" s="6"/>
      <c r="H37" s="6"/>
      <c r="I37" s="6"/>
      <c r="J37" s="6"/>
      <c r="K37" s="5"/>
      <c r="L37" s="5"/>
      <c r="M37" s="5"/>
      <c r="N37" s="5"/>
      <c r="O37" s="5"/>
      <c r="P37" s="5"/>
      <c r="Q37" s="5"/>
      <c r="R37" s="5"/>
      <c r="S37" s="5"/>
      <c r="T37" s="5"/>
      <c r="U37" s="5"/>
      <c r="V37" s="5"/>
      <c r="W37" s="5"/>
      <c r="X37" s="5"/>
      <c r="Y37" s="5"/>
      <c r="Z37" s="5"/>
    </row>
    <row r="38" spans="1:26" ht="17.25" thickBot="1" x14ac:dyDescent="0.3">
      <c r="A38" s="6"/>
      <c r="B38" s="6"/>
      <c r="C38" s="6"/>
      <c r="D38" s="6"/>
      <c r="E38" s="6"/>
      <c r="F38" s="6"/>
      <c r="G38" s="6"/>
      <c r="H38" s="6"/>
      <c r="I38" s="6"/>
      <c r="J38" s="6"/>
      <c r="K38" s="5"/>
      <c r="L38" s="5"/>
      <c r="M38" s="5"/>
      <c r="N38" s="5"/>
      <c r="O38" s="5"/>
      <c r="P38" s="5"/>
      <c r="Q38" s="5"/>
      <c r="R38" s="5"/>
      <c r="S38" s="5"/>
      <c r="T38" s="5"/>
      <c r="U38" s="5"/>
      <c r="V38" s="5"/>
      <c r="W38" s="5"/>
      <c r="X38" s="5"/>
      <c r="Y38" s="5"/>
      <c r="Z38" s="5"/>
    </row>
    <row r="39" spans="1:26" ht="17.25" thickBot="1" x14ac:dyDescent="0.3">
      <c r="A39" s="6"/>
      <c r="B39" s="6"/>
      <c r="C39" s="6"/>
      <c r="D39" s="6"/>
      <c r="E39" s="6"/>
      <c r="F39" s="6"/>
      <c r="G39" s="6"/>
      <c r="H39" s="6"/>
      <c r="I39" s="6"/>
      <c r="J39" s="6"/>
      <c r="K39" s="5"/>
      <c r="L39" s="5"/>
      <c r="M39" s="5"/>
      <c r="N39" s="5"/>
      <c r="O39" s="5"/>
      <c r="P39" s="5"/>
      <c r="Q39" s="5"/>
      <c r="R39" s="5"/>
      <c r="S39" s="5"/>
      <c r="T39" s="5"/>
      <c r="U39" s="5"/>
      <c r="V39" s="5"/>
      <c r="W39" s="5"/>
      <c r="X39" s="5"/>
      <c r="Y39" s="5"/>
      <c r="Z39" s="5"/>
    </row>
    <row r="40" spans="1:26" ht="17.25" thickBot="1" x14ac:dyDescent="0.3">
      <c r="A40" s="6"/>
      <c r="B40" s="6"/>
      <c r="C40" s="6"/>
      <c r="D40" s="6"/>
      <c r="E40" s="6"/>
      <c r="F40" s="6"/>
      <c r="G40" s="6"/>
      <c r="H40" s="6"/>
      <c r="I40" s="6"/>
      <c r="J40" s="6"/>
      <c r="K40" s="5"/>
      <c r="L40" s="5"/>
      <c r="M40" s="5"/>
      <c r="N40" s="5"/>
      <c r="O40" s="5"/>
      <c r="P40" s="5"/>
      <c r="Q40" s="5"/>
      <c r="R40" s="5"/>
      <c r="S40" s="5"/>
      <c r="T40" s="5"/>
      <c r="U40" s="5"/>
      <c r="V40" s="5"/>
      <c r="W40" s="5"/>
      <c r="X40" s="5"/>
      <c r="Y40" s="5"/>
      <c r="Z40" s="5"/>
    </row>
    <row r="41" spans="1:26" ht="17.25" thickBot="1" x14ac:dyDescent="0.3">
      <c r="A41" s="6"/>
      <c r="B41" s="6"/>
      <c r="C41" s="6"/>
      <c r="D41" s="6"/>
      <c r="E41" s="6"/>
      <c r="F41" s="6"/>
      <c r="G41" s="6"/>
      <c r="H41" s="6"/>
      <c r="I41" s="6"/>
      <c r="J41" s="6"/>
      <c r="K41" s="5"/>
      <c r="L41" s="5"/>
      <c r="M41" s="5"/>
      <c r="N41" s="5"/>
      <c r="O41" s="5"/>
      <c r="P41" s="5"/>
      <c r="Q41" s="5"/>
      <c r="R41" s="5"/>
      <c r="S41" s="5"/>
      <c r="T41" s="5"/>
      <c r="U41" s="5"/>
      <c r="V41" s="5"/>
      <c r="W41" s="5"/>
      <c r="X41" s="5"/>
      <c r="Y41" s="5"/>
      <c r="Z41" s="5"/>
    </row>
    <row r="42" spans="1:26" ht="17.25" thickBot="1" x14ac:dyDescent="0.3">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ht="17.25" thickBot="1" x14ac:dyDescent="0.3">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ht="17.25" thickBot="1" x14ac:dyDescent="0.3">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row r="1000" spans="1:26" ht="17.25" thickBot="1" x14ac:dyDescent="0.3">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phoneticPr fontId="11" type="noConversion"/>
  <dataValidations count="1">
    <dataValidation type="list" allowBlank="1" showErrorMessage="1" sqref="J2:J15" xr:uid="{70E29A47-9CC5-4535-93A7-84D732567A31}">
      <formula1>"Critical ,High,Medium,Low"</formula1>
    </dataValidation>
  </dataValidation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0201E-C4F9-4CB8-93B6-1DB5DE59E5FB}">
  <dimension ref="A1:Z1000"/>
  <sheetViews>
    <sheetView zoomScale="76" zoomScaleNormal="76" workbookViewId="0">
      <selection activeCell="A2" sqref="A2"/>
    </sheetView>
  </sheetViews>
  <sheetFormatPr defaultColWidth="8.875" defaultRowHeight="16.5" x14ac:dyDescent="0.25"/>
  <cols>
    <col min="1" max="1" width="16.625" style="4" bestFit="1" customWidth="1"/>
    <col min="2" max="2" width="16" style="4" bestFit="1" customWidth="1"/>
    <col min="3" max="3" width="23.25" style="4" customWidth="1"/>
    <col min="4" max="4" width="34.875" style="4" bestFit="1" customWidth="1"/>
    <col min="5" max="5" width="61.125" style="4" customWidth="1"/>
    <col min="6" max="6" width="27.375" style="4" customWidth="1"/>
    <col min="7" max="7" width="31.875" style="4" customWidth="1"/>
    <col min="8" max="8" width="27.5" style="4" customWidth="1"/>
    <col min="9" max="9" width="17.75" style="4" customWidth="1"/>
    <col min="10" max="10" width="8.875" style="4"/>
  </cols>
  <sheetData>
    <row r="1" spans="1:26" s="12" customFormat="1" ht="43.5" thickBot="1" x14ac:dyDescent="0.25">
      <c r="A1" s="26" t="s">
        <v>303</v>
      </c>
      <c r="B1" s="26" t="s">
        <v>204</v>
      </c>
      <c r="C1" s="26" t="s">
        <v>304</v>
      </c>
      <c r="D1" s="26" t="s">
        <v>305</v>
      </c>
      <c r="E1" s="26" t="s">
        <v>306</v>
      </c>
      <c r="F1" s="26" t="s">
        <v>307</v>
      </c>
      <c r="G1" s="26" t="s">
        <v>308</v>
      </c>
      <c r="H1" s="26" t="s">
        <v>309</v>
      </c>
      <c r="I1" s="27" t="s">
        <v>56</v>
      </c>
      <c r="J1" s="26" t="s">
        <v>310</v>
      </c>
      <c r="K1" s="11"/>
      <c r="L1" s="8" t="s">
        <v>311</v>
      </c>
      <c r="M1" s="9" t="s">
        <v>312</v>
      </c>
      <c r="N1" s="9" t="s">
        <v>313</v>
      </c>
      <c r="O1" s="10" t="s">
        <v>314</v>
      </c>
      <c r="P1" s="11"/>
      <c r="Q1" s="11"/>
      <c r="R1" s="11"/>
      <c r="S1" s="11"/>
      <c r="T1" s="11"/>
      <c r="U1" s="11"/>
      <c r="V1" s="11"/>
      <c r="W1" s="11"/>
      <c r="X1" s="11"/>
      <c r="Y1" s="11"/>
      <c r="Z1" s="11"/>
    </row>
    <row r="2" spans="1:26" ht="135" customHeight="1" thickBot="1" x14ac:dyDescent="0.3">
      <c r="A2" s="6" t="s">
        <v>315</v>
      </c>
      <c r="B2" s="76" t="s">
        <v>224</v>
      </c>
      <c r="C2" s="6" t="s">
        <v>226</v>
      </c>
      <c r="D2" s="6" t="s">
        <v>316</v>
      </c>
      <c r="E2" s="6" t="s">
        <v>317</v>
      </c>
      <c r="F2" s="6" t="s">
        <v>318</v>
      </c>
      <c r="G2" s="6" t="s">
        <v>319</v>
      </c>
      <c r="H2" s="6" t="s">
        <v>320</v>
      </c>
      <c r="I2" s="6" t="s">
        <v>61</v>
      </c>
      <c r="J2" s="6" t="s">
        <v>211</v>
      </c>
      <c r="K2" s="5"/>
      <c r="L2" s="53" t="s">
        <v>61</v>
      </c>
      <c r="M2" s="53">
        <f>COUNTIF($I$2:$I$150,"Pass")</f>
        <v>2</v>
      </c>
      <c r="N2" s="53" t="s">
        <v>321</v>
      </c>
      <c r="O2" s="53">
        <f>COUNTIF($J$2:$J$150,"Critical ")</f>
        <v>0</v>
      </c>
      <c r="P2" s="5"/>
      <c r="Q2" s="5"/>
      <c r="R2" s="5"/>
      <c r="S2" s="5"/>
      <c r="T2" s="5"/>
      <c r="U2" s="5"/>
      <c r="V2" s="5"/>
      <c r="W2" s="5"/>
      <c r="X2" s="5"/>
      <c r="Y2" s="5"/>
      <c r="Z2" s="5"/>
    </row>
    <row r="3" spans="1:26" ht="149.25" thickBot="1" x14ac:dyDescent="0.3">
      <c r="A3" s="6" t="s">
        <v>322</v>
      </c>
      <c r="B3" s="76" t="s">
        <v>227</v>
      </c>
      <c r="C3" s="6" t="s">
        <v>323</v>
      </c>
      <c r="D3" s="6" t="s">
        <v>324</v>
      </c>
      <c r="E3" s="6" t="s">
        <v>317</v>
      </c>
      <c r="F3" s="6" t="s">
        <v>325</v>
      </c>
      <c r="G3" s="6" t="s">
        <v>326</v>
      </c>
      <c r="H3" s="6" t="s">
        <v>320</v>
      </c>
      <c r="I3" s="6" t="s">
        <v>61</v>
      </c>
      <c r="J3" s="6" t="s">
        <v>211</v>
      </c>
      <c r="K3" s="5"/>
      <c r="L3" s="54" t="s">
        <v>327</v>
      </c>
      <c r="M3" s="53">
        <f>COUNTIF($I$2:$I$150,"Fail")</f>
        <v>1</v>
      </c>
      <c r="N3" s="54" t="s">
        <v>211</v>
      </c>
      <c r="O3" s="53">
        <f>COUNTIF($J$2:$J$150,"High")</f>
        <v>10</v>
      </c>
      <c r="P3" s="5"/>
      <c r="Q3" s="5"/>
      <c r="R3" s="5"/>
      <c r="S3" s="5"/>
      <c r="T3" s="5"/>
      <c r="U3" s="5"/>
      <c r="V3" s="5"/>
      <c r="W3" s="5"/>
      <c r="X3" s="5"/>
      <c r="Y3" s="5"/>
      <c r="Z3" s="5"/>
    </row>
    <row r="4" spans="1:26" ht="149.25" thickBot="1" x14ac:dyDescent="0.3">
      <c r="A4" s="6" t="s">
        <v>328</v>
      </c>
      <c r="B4" s="76" t="s">
        <v>227</v>
      </c>
      <c r="C4" s="6" t="s">
        <v>329</v>
      </c>
      <c r="D4" s="6" t="s">
        <v>330</v>
      </c>
      <c r="E4" s="6" t="s">
        <v>317</v>
      </c>
      <c r="F4" s="6" t="s">
        <v>331</v>
      </c>
      <c r="G4" s="6" t="s">
        <v>332</v>
      </c>
      <c r="H4" s="6" t="s">
        <v>319</v>
      </c>
      <c r="I4" s="6" t="s">
        <v>327</v>
      </c>
      <c r="J4" s="6" t="s">
        <v>211</v>
      </c>
      <c r="K4" s="5"/>
      <c r="L4" s="75" t="s">
        <v>333</v>
      </c>
      <c r="M4" s="53">
        <f>COUNTIF($I$2:$I$150,"EX")</f>
        <v>0</v>
      </c>
      <c r="N4" s="54" t="s">
        <v>216</v>
      </c>
      <c r="O4" s="53">
        <f>COUNTIF($J$2:$J$150,"Medium"
)</f>
        <v>7</v>
      </c>
      <c r="P4" s="5"/>
      <c r="Q4" s="5"/>
      <c r="R4" s="5"/>
      <c r="S4" s="5"/>
      <c r="T4" s="5"/>
      <c r="U4" s="5"/>
      <c r="V4" s="5"/>
      <c r="W4" s="5"/>
      <c r="X4" s="5"/>
      <c r="Y4" s="5"/>
      <c r="Z4" s="5"/>
    </row>
    <row r="5" spans="1:26" ht="149.25" thickBot="1" x14ac:dyDescent="0.3">
      <c r="A5" s="6" t="s">
        <v>334</v>
      </c>
      <c r="B5" s="76" t="s">
        <v>227</v>
      </c>
      <c r="C5" s="6" t="s">
        <v>335</v>
      </c>
      <c r="D5" s="6" t="s">
        <v>336</v>
      </c>
      <c r="E5" s="6" t="s">
        <v>317</v>
      </c>
      <c r="F5" s="6" t="s">
        <v>337</v>
      </c>
      <c r="G5" s="6" t="s">
        <v>338</v>
      </c>
      <c r="H5" s="6"/>
      <c r="I5" s="6"/>
      <c r="J5" s="6" t="s">
        <v>211</v>
      </c>
      <c r="K5" s="5"/>
      <c r="L5" s="54" t="s">
        <v>339</v>
      </c>
      <c r="M5" s="53">
        <f>SUM(M2:M4)</f>
        <v>3</v>
      </c>
      <c r="N5" s="54" t="s">
        <v>221</v>
      </c>
      <c r="O5" s="53">
        <f>COUNTIF($J$2:$J$150,"Low"
)</f>
        <v>0</v>
      </c>
      <c r="P5" s="5"/>
      <c r="Q5" s="5"/>
      <c r="R5" s="5"/>
      <c r="S5" s="5"/>
      <c r="T5" s="5"/>
      <c r="U5" s="5"/>
      <c r="V5" s="5"/>
      <c r="W5" s="5"/>
      <c r="X5" s="5"/>
      <c r="Y5" s="5"/>
      <c r="Z5" s="5"/>
    </row>
    <row r="6" spans="1:26" ht="149.25" thickBot="1" x14ac:dyDescent="0.3">
      <c r="A6" s="6" t="s">
        <v>340</v>
      </c>
      <c r="B6" s="76" t="s">
        <v>227</v>
      </c>
      <c r="C6" s="6" t="s">
        <v>341</v>
      </c>
      <c r="D6" s="77" t="s">
        <v>342</v>
      </c>
      <c r="E6" s="77" t="s">
        <v>317</v>
      </c>
      <c r="F6" s="6"/>
      <c r="G6" s="6"/>
      <c r="H6" s="6"/>
      <c r="I6" s="6"/>
      <c r="J6" s="6" t="s">
        <v>211</v>
      </c>
      <c r="K6" s="5"/>
      <c r="L6" s="5"/>
      <c r="M6" s="5"/>
      <c r="N6" s="5"/>
      <c r="O6" s="5"/>
      <c r="P6" s="5"/>
      <c r="Q6" s="5"/>
      <c r="R6" s="5"/>
      <c r="S6" s="5"/>
      <c r="T6" s="5"/>
      <c r="U6" s="5"/>
      <c r="V6" s="5"/>
      <c r="W6" s="5"/>
      <c r="X6" s="5"/>
      <c r="Y6" s="5"/>
      <c r="Z6" s="5"/>
    </row>
    <row r="7" spans="1:26" s="46" customFormat="1" ht="149.25" thickBot="1" x14ac:dyDescent="0.3">
      <c r="A7" s="77" t="s">
        <v>343</v>
      </c>
      <c r="B7" s="83" t="s">
        <v>227</v>
      </c>
      <c r="C7" s="84" t="s">
        <v>344</v>
      </c>
      <c r="D7" s="89" t="s">
        <v>316</v>
      </c>
      <c r="E7" s="77" t="s">
        <v>317</v>
      </c>
      <c r="F7" s="6"/>
      <c r="G7" s="6"/>
      <c r="H7" s="6"/>
      <c r="I7" s="6"/>
      <c r="J7" s="6" t="s">
        <v>211</v>
      </c>
      <c r="K7" s="5"/>
      <c r="L7" s="5"/>
      <c r="M7" s="5"/>
      <c r="N7" s="5"/>
      <c r="O7" s="5"/>
      <c r="P7" s="5"/>
      <c r="Q7" s="5"/>
      <c r="R7" s="5"/>
      <c r="S7" s="5"/>
      <c r="T7" s="5"/>
      <c r="U7" s="5"/>
      <c r="V7" s="5"/>
      <c r="W7" s="5"/>
      <c r="X7" s="5"/>
      <c r="Y7" s="5"/>
      <c r="Z7" s="5"/>
    </row>
    <row r="8" spans="1:26" s="46" customFormat="1" ht="149.25" thickBot="1" x14ac:dyDescent="0.3">
      <c r="A8" s="90" t="s">
        <v>345</v>
      </c>
      <c r="B8" s="90" t="s">
        <v>227</v>
      </c>
      <c r="C8" s="90" t="s">
        <v>346</v>
      </c>
      <c r="D8" s="90" t="s">
        <v>316</v>
      </c>
      <c r="E8" s="77" t="s">
        <v>317</v>
      </c>
      <c r="F8" s="6"/>
      <c r="G8" s="6"/>
      <c r="H8" s="6"/>
      <c r="I8" s="6"/>
      <c r="J8" s="6" t="s">
        <v>211</v>
      </c>
      <c r="K8" s="85"/>
      <c r="L8" s="5"/>
      <c r="M8" s="5"/>
      <c r="N8" s="5"/>
      <c r="O8" s="5"/>
      <c r="P8" s="5"/>
      <c r="Q8" s="5"/>
      <c r="R8" s="5"/>
      <c r="S8" s="5"/>
      <c r="T8" s="5"/>
      <c r="U8" s="5"/>
      <c r="V8" s="5"/>
      <c r="W8" s="5"/>
      <c r="X8" s="5"/>
      <c r="Y8" s="5"/>
      <c r="Z8" s="5"/>
    </row>
    <row r="9" spans="1:26" s="46" customFormat="1" ht="149.25" thickBot="1" x14ac:dyDescent="0.3">
      <c r="A9" s="90" t="s">
        <v>347</v>
      </c>
      <c r="B9" s="90" t="s">
        <v>227</v>
      </c>
      <c r="C9" s="90" t="s">
        <v>348</v>
      </c>
      <c r="D9" s="90" t="s">
        <v>316</v>
      </c>
      <c r="E9" s="77" t="s">
        <v>317</v>
      </c>
      <c r="F9" s="6"/>
      <c r="G9" s="6"/>
      <c r="H9" s="6"/>
      <c r="I9" s="6"/>
      <c r="J9" s="6" t="s">
        <v>211</v>
      </c>
      <c r="K9" s="85"/>
      <c r="L9" s="5"/>
      <c r="M9" s="5"/>
      <c r="N9" s="5"/>
      <c r="O9" s="5"/>
      <c r="P9" s="5"/>
      <c r="Q9" s="5"/>
      <c r="R9" s="5"/>
      <c r="S9" s="5"/>
      <c r="T9" s="5"/>
      <c r="U9" s="5"/>
      <c r="V9" s="5"/>
      <c r="W9" s="5"/>
      <c r="X9" s="5"/>
      <c r="Y9" s="5"/>
      <c r="Z9" s="5"/>
    </row>
    <row r="10" spans="1:26" s="46" customFormat="1" ht="149.25" thickBot="1" x14ac:dyDescent="0.3">
      <c r="A10" s="90" t="s">
        <v>349</v>
      </c>
      <c r="B10" s="90" t="s">
        <v>227</v>
      </c>
      <c r="C10" s="90" t="s">
        <v>350</v>
      </c>
      <c r="D10" s="90" t="s">
        <v>316</v>
      </c>
      <c r="E10" s="77" t="s">
        <v>317</v>
      </c>
      <c r="F10" s="6"/>
      <c r="G10" s="6"/>
      <c r="H10" s="6"/>
      <c r="I10" s="6"/>
      <c r="J10" s="6" t="s">
        <v>211</v>
      </c>
      <c r="K10" s="85"/>
      <c r="L10" s="5"/>
      <c r="M10" s="5"/>
      <c r="N10" s="5"/>
      <c r="O10" s="5"/>
      <c r="P10" s="5"/>
      <c r="Q10" s="5"/>
      <c r="R10" s="5"/>
      <c r="S10" s="5"/>
      <c r="T10" s="5"/>
      <c r="U10" s="5"/>
      <c r="V10" s="5"/>
      <c r="W10" s="5"/>
      <c r="X10" s="5"/>
      <c r="Y10" s="5"/>
      <c r="Z10" s="5"/>
    </row>
    <row r="11" spans="1:26" s="46" customFormat="1" ht="149.25" thickBot="1" x14ac:dyDescent="0.3">
      <c r="A11" s="90" t="s">
        <v>351</v>
      </c>
      <c r="B11" s="90" t="s">
        <v>227</v>
      </c>
      <c r="C11" s="90" t="s">
        <v>352</v>
      </c>
      <c r="D11" s="90" t="s">
        <v>316</v>
      </c>
      <c r="E11" s="77" t="s">
        <v>317</v>
      </c>
      <c r="F11" s="6"/>
      <c r="G11" s="6"/>
      <c r="H11" s="6"/>
      <c r="I11" s="6"/>
      <c r="J11" s="6" t="s">
        <v>211</v>
      </c>
      <c r="K11" s="85"/>
      <c r="L11" s="5"/>
      <c r="M11" s="5"/>
      <c r="N11" s="5"/>
      <c r="O11" s="5"/>
      <c r="P11" s="5"/>
      <c r="Q11" s="5"/>
      <c r="R11" s="5"/>
      <c r="S11" s="5"/>
      <c r="T11" s="5"/>
      <c r="U11" s="5"/>
      <c r="V11" s="5"/>
      <c r="W11" s="5"/>
      <c r="X11" s="5"/>
      <c r="Y11" s="5"/>
      <c r="Z11" s="5"/>
    </row>
    <row r="12" spans="1:26" ht="149.25" thickBot="1" x14ac:dyDescent="0.3">
      <c r="A12" s="86" t="s">
        <v>353</v>
      </c>
      <c r="B12" s="87" t="s">
        <v>229</v>
      </c>
      <c r="C12" s="86" t="s">
        <v>354</v>
      </c>
      <c r="D12" s="86" t="s">
        <v>316</v>
      </c>
      <c r="E12" s="77" t="s">
        <v>355</v>
      </c>
      <c r="F12" s="6"/>
      <c r="G12" s="6"/>
      <c r="H12" s="6"/>
      <c r="I12" s="6"/>
      <c r="J12" s="88" t="s">
        <v>216</v>
      </c>
      <c r="K12" s="5"/>
      <c r="L12" s="5"/>
      <c r="M12" s="5"/>
      <c r="N12" s="5"/>
      <c r="O12" s="5"/>
      <c r="P12" s="5"/>
      <c r="Q12" s="5"/>
      <c r="R12" s="5"/>
      <c r="S12" s="5"/>
      <c r="T12" s="5"/>
      <c r="U12" s="5"/>
      <c r="V12" s="5"/>
      <c r="W12" s="5"/>
      <c r="X12" s="5"/>
      <c r="Y12" s="5"/>
      <c r="Z12" s="5"/>
    </row>
    <row r="13" spans="1:26" ht="149.25" thickBot="1" x14ac:dyDescent="0.3">
      <c r="A13" s="6" t="s">
        <v>356</v>
      </c>
      <c r="B13" s="76" t="s">
        <v>229</v>
      </c>
      <c r="C13" s="6" t="s">
        <v>357</v>
      </c>
      <c r="D13" s="6" t="s">
        <v>316</v>
      </c>
      <c r="E13" s="6" t="s">
        <v>358</v>
      </c>
      <c r="F13" s="6"/>
      <c r="G13" s="6"/>
      <c r="H13" s="6"/>
      <c r="I13" s="6"/>
      <c r="J13" s="82" t="s">
        <v>216</v>
      </c>
      <c r="K13" s="5"/>
      <c r="L13" s="5"/>
      <c r="M13" s="5"/>
      <c r="N13" s="5"/>
      <c r="O13" s="5"/>
      <c r="P13" s="5"/>
      <c r="Q13" s="5"/>
      <c r="R13" s="5"/>
      <c r="S13" s="5"/>
      <c r="T13" s="5"/>
      <c r="U13" s="5"/>
      <c r="V13" s="5"/>
      <c r="W13" s="5"/>
      <c r="X13" s="5"/>
      <c r="Y13" s="5"/>
      <c r="Z13" s="5"/>
    </row>
    <row r="14" spans="1:26" ht="149.25" thickBot="1" x14ac:dyDescent="0.3">
      <c r="A14" s="6" t="s">
        <v>359</v>
      </c>
      <c r="B14" s="76" t="s">
        <v>229</v>
      </c>
      <c r="C14" s="6" t="s">
        <v>360</v>
      </c>
      <c r="D14" s="6" t="s">
        <v>316</v>
      </c>
      <c r="E14" s="6" t="s">
        <v>361</v>
      </c>
      <c r="F14" s="6"/>
      <c r="G14" s="6"/>
      <c r="H14" s="6"/>
      <c r="I14" s="6"/>
      <c r="J14" s="82" t="s">
        <v>216</v>
      </c>
      <c r="K14" s="5"/>
      <c r="L14" s="5"/>
      <c r="M14" s="5"/>
      <c r="N14" s="5"/>
      <c r="O14" s="5"/>
      <c r="P14" s="5"/>
      <c r="Q14" s="5"/>
      <c r="R14" s="5"/>
      <c r="S14" s="5"/>
      <c r="T14" s="5"/>
      <c r="U14" s="5"/>
      <c r="V14" s="5"/>
      <c r="W14" s="5"/>
      <c r="X14" s="5"/>
      <c r="Y14" s="5"/>
      <c r="Z14" s="5"/>
    </row>
    <row r="15" spans="1:26" ht="149.25" thickBot="1" x14ac:dyDescent="0.3">
      <c r="A15" s="6" t="s">
        <v>362</v>
      </c>
      <c r="B15" s="76" t="s">
        <v>229</v>
      </c>
      <c r="C15" s="6" t="s">
        <v>363</v>
      </c>
      <c r="D15" s="6" t="s">
        <v>316</v>
      </c>
      <c r="E15" s="6" t="s">
        <v>364</v>
      </c>
      <c r="F15" s="6"/>
      <c r="G15" s="6"/>
      <c r="H15" s="6"/>
      <c r="I15" s="6"/>
      <c r="J15" s="82" t="s">
        <v>216</v>
      </c>
      <c r="K15" s="5"/>
      <c r="L15" s="5"/>
      <c r="M15" s="5"/>
      <c r="N15" s="5"/>
      <c r="O15" s="5"/>
      <c r="P15" s="5"/>
      <c r="Q15" s="5"/>
      <c r="R15" s="5"/>
      <c r="S15" s="5"/>
      <c r="T15" s="5"/>
      <c r="U15" s="5"/>
      <c r="V15" s="5"/>
      <c r="W15" s="5"/>
      <c r="X15" s="5"/>
      <c r="Y15" s="5"/>
      <c r="Z15" s="5"/>
    </row>
    <row r="16" spans="1:26" ht="149.25" thickBot="1" x14ac:dyDescent="0.3">
      <c r="A16" s="6" t="s">
        <v>365</v>
      </c>
      <c r="B16" s="76" t="s">
        <v>229</v>
      </c>
      <c r="C16" s="6" t="s">
        <v>366</v>
      </c>
      <c r="D16" s="6" t="s">
        <v>316</v>
      </c>
      <c r="E16" s="6" t="s">
        <v>367</v>
      </c>
      <c r="F16" s="6"/>
      <c r="G16" s="6"/>
      <c r="H16" s="6"/>
      <c r="I16" s="6"/>
      <c r="J16" s="82" t="s">
        <v>216</v>
      </c>
      <c r="K16" s="5"/>
      <c r="L16" s="5"/>
      <c r="M16" s="5"/>
      <c r="N16" s="5"/>
      <c r="O16" s="5"/>
      <c r="P16" s="5"/>
      <c r="Q16" s="5"/>
      <c r="R16" s="5"/>
      <c r="S16" s="5"/>
      <c r="T16" s="5"/>
      <c r="U16" s="5"/>
      <c r="V16" s="5"/>
      <c r="W16" s="5"/>
      <c r="X16" s="5"/>
      <c r="Y16" s="5"/>
      <c r="Z16" s="5"/>
    </row>
    <row r="17" spans="1:26" ht="149.25" thickBot="1" x14ac:dyDescent="0.3">
      <c r="A17" s="6" t="s">
        <v>368</v>
      </c>
      <c r="B17" s="76" t="s">
        <v>229</v>
      </c>
      <c r="C17" s="6" t="s">
        <v>369</v>
      </c>
      <c r="D17" s="6" t="s">
        <v>316</v>
      </c>
      <c r="E17" s="6" t="s">
        <v>370</v>
      </c>
      <c r="F17" s="6"/>
      <c r="G17" s="6"/>
      <c r="H17" s="6"/>
      <c r="I17" s="6"/>
      <c r="J17" s="82" t="s">
        <v>216</v>
      </c>
      <c r="K17" s="5"/>
      <c r="L17" s="5"/>
      <c r="M17" s="5"/>
      <c r="N17" s="5"/>
      <c r="O17" s="5"/>
      <c r="P17" s="5"/>
      <c r="Q17" s="5"/>
      <c r="R17" s="5"/>
      <c r="S17" s="5"/>
      <c r="T17" s="5"/>
      <c r="U17" s="5"/>
      <c r="V17" s="5"/>
      <c r="W17" s="5"/>
      <c r="X17" s="5"/>
      <c r="Y17" s="5"/>
      <c r="Z17" s="5"/>
    </row>
    <row r="18" spans="1:26" ht="149.25" thickBot="1" x14ac:dyDescent="0.3">
      <c r="A18" s="6" t="s">
        <v>371</v>
      </c>
      <c r="B18" s="76" t="s">
        <v>229</v>
      </c>
      <c r="C18" s="6" t="s">
        <v>372</v>
      </c>
      <c r="D18" s="6" t="s">
        <v>316</v>
      </c>
      <c r="E18" s="6" t="s">
        <v>373</v>
      </c>
      <c r="F18" s="6" t="s">
        <v>374</v>
      </c>
      <c r="G18" s="6"/>
      <c r="H18" s="6"/>
      <c r="I18" s="6"/>
      <c r="J18" s="82" t="s">
        <v>216</v>
      </c>
      <c r="K18" s="5"/>
      <c r="L18" s="5"/>
      <c r="M18" s="5"/>
      <c r="N18" s="5"/>
      <c r="O18" s="5"/>
      <c r="P18" s="5"/>
      <c r="Q18" s="5"/>
      <c r="R18" s="5"/>
      <c r="S18" s="5"/>
      <c r="T18" s="5"/>
      <c r="U18" s="5"/>
      <c r="V18" s="5"/>
      <c r="W18" s="5"/>
      <c r="X18" s="5"/>
      <c r="Y18" s="5"/>
      <c r="Z18" s="5"/>
    </row>
    <row r="19" spans="1:26" ht="17.25" thickBot="1" x14ac:dyDescent="0.3">
      <c r="A19" s="6" t="s">
        <v>375</v>
      </c>
      <c r="B19" s="6"/>
      <c r="C19" s="6"/>
      <c r="D19" s="6"/>
      <c r="E19" s="6"/>
      <c r="F19" s="6"/>
      <c r="G19" s="6"/>
      <c r="H19" s="6"/>
      <c r="I19" s="6"/>
      <c r="J19" s="6"/>
      <c r="K19" s="5"/>
      <c r="L19" s="5"/>
      <c r="M19" s="5"/>
      <c r="N19" s="5"/>
      <c r="O19" s="5"/>
      <c r="P19" s="5"/>
      <c r="Q19" s="5"/>
      <c r="R19" s="5"/>
      <c r="S19" s="5"/>
      <c r="T19" s="5"/>
      <c r="U19" s="5"/>
      <c r="V19" s="5"/>
      <c r="W19" s="5"/>
      <c r="X19" s="5"/>
      <c r="Y19" s="5"/>
      <c r="Z19" s="5"/>
    </row>
    <row r="20" spans="1:26" ht="17.25" thickBot="1" x14ac:dyDescent="0.3">
      <c r="A20" s="6" t="s">
        <v>376</v>
      </c>
      <c r="B20" s="6"/>
      <c r="C20" s="6"/>
      <c r="D20" s="6"/>
      <c r="E20" s="6"/>
      <c r="F20" s="6"/>
      <c r="G20" s="6"/>
      <c r="H20" s="6"/>
      <c r="I20" s="6"/>
      <c r="J20" s="6"/>
      <c r="K20" s="5"/>
      <c r="L20" s="5"/>
      <c r="M20" s="5"/>
      <c r="N20" s="5"/>
      <c r="O20" s="5"/>
      <c r="P20" s="5"/>
      <c r="Q20" s="5"/>
      <c r="R20" s="5"/>
      <c r="S20" s="5"/>
      <c r="T20" s="5"/>
      <c r="U20" s="5"/>
      <c r="V20" s="5"/>
      <c r="W20" s="5"/>
      <c r="X20" s="5"/>
      <c r="Y20" s="5"/>
      <c r="Z20" s="5"/>
    </row>
    <row r="21" spans="1:26" ht="17.25" thickBot="1" x14ac:dyDescent="0.3">
      <c r="A21" s="6" t="s">
        <v>377</v>
      </c>
      <c r="B21" s="6"/>
      <c r="C21" s="6"/>
      <c r="D21" s="6"/>
      <c r="E21" s="6"/>
      <c r="F21" s="6"/>
      <c r="G21" s="6"/>
      <c r="H21" s="6"/>
      <c r="I21" s="6"/>
      <c r="J21" s="6"/>
      <c r="K21" s="5"/>
      <c r="L21" s="5"/>
      <c r="M21" s="5"/>
      <c r="N21" s="5"/>
      <c r="O21" s="5"/>
      <c r="P21" s="5"/>
      <c r="Q21" s="5"/>
      <c r="R21" s="5"/>
      <c r="S21" s="5"/>
      <c r="T21" s="5"/>
      <c r="U21" s="5"/>
      <c r="V21" s="5"/>
      <c r="W21" s="5"/>
      <c r="X21" s="5"/>
      <c r="Y21" s="5"/>
      <c r="Z21" s="5"/>
    </row>
    <row r="22" spans="1:26" ht="17.25" thickBot="1" x14ac:dyDescent="0.3">
      <c r="A22" s="6" t="s">
        <v>378</v>
      </c>
      <c r="B22" s="6"/>
      <c r="C22" s="6"/>
      <c r="D22" s="6"/>
      <c r="E22" s="6"/>
      <c r="F22" s="6"/>
      <c r="G22" s="6"/>
      <c r="H22" s="6"/>
      <c r="I22" s="6"/>
      <c r="J22" s="6"/>
      <c r="K22" s="5"/>
      <c r="L22" s="5"/>
      <c r="M22" s="5"/>
      <c r="N22" s="5"/>
      <c r="O22" s="5"/>
      <c r="P22" s="5"/>
      <c r="Q22" s="5"/>
      <c r="R22" s="5"/>
      <c r="S22" s="5"/>
      <c r="T22" s="5"/>
      <c r="U22" s="5"/>
      <c r="V22" s="5"/>
      <c r="W22" s="5"/>
      <c r="X22" s="5"/>
      <c r="Y22" s="5"/>
      <c r="Z22" s="5"/>
    </row>
    <row r="23" spans="1:26" ht="17.25" thickBot="1" x14ac:dyDescent="0.3">
      <c r="A23" s="6" t="s">
        <v>379</v>
      </c>
      <c r="B23" s="6"/>
      <c r="C23" s="6"/>
      <c r="D23" s="6"/>
      <c r="E23" s="6"/>
      <c r="F23" s="6"/>
      <c r="G23" s="6"/>
      <c r="H23" s="6"/>
      <c r="I23" s="6"/>
      <c r="J23" s="6"/>
      <c r="K23" s="5"/>
      <c r="L23" s="5"/>
      <c r="M23" s="5"/>
      <c r="N23" s="5"/>
      <c r="O23" s="5"/>
      <c r="P23" s="5"/>
      <c r="Q23" s="5"/>
      <c r="R23" s="5"/>
      <c r="S23" s="5"/>
      <c r="T23" s="5"/>
      <c r="U23" s="5"/>
      <c r="V23" s="5"/>
      <c r="W23" s="5"/>
      <c r="X23" s="5"/>
      <c r="Y23" s="5"/>
      <c r="Z23" s="5"/>
    </row>
    <row r="24" spans="1:26" ht="17.25" thickBot="1" x14ac:dyDescent="0.3">
      <c r="A24" s="6" t="s">
        <v>380</v>
      </c>
      <c r="B24" s="6"/>
      <c r="C24" s="6"/>
      <c r="D24" s="6"/>
      <c r="E24" s="6"/>
      <c r="F24" s="6"/>
      <c r="G24" s="6"/>
      <c r="H24" s="6"/>
      <c r="I24" s="6"/>
      <c r="J24" s="6"/>
      <c r="K24" s="5"/>
      <c r="L24" s="5"/>
      <c r="M24" s="5"/>
      <c r="N24" s="5"/>
      <c r="O24" s="5"/>
      <c r="P24" s="5"/>
      <c r="Q24" s="5"/>
      <c r="R24" s="5"/>
      <c r="S24" s="5"/>
      <c r="T24" s="5"/>
      <c r="U24" s="5"/>
      <c r="V24" s="5"/>
      <c r="W24" s="5"/>
      <c r="X24" s="5"/>
      <c r="Y24" s="5"/>
      <c r="Z24" s="5"/>
    </row>
    <row r="25" spans="1:26" ht="17.25" thickBot="1" x14ac:dyDescent="0.3">
      <c r="A25" s="6" t="s">
        <v>381</v>
      </c>
      <c r="B25" s="6"/>
      <c r="C25" s="6"/>
      <c r="D25" s="6"/>
      <c r="E25" s="6"/>
      <c r="F25" s="6"/>
      <c r="G25" s="6"/>
      <c r="H25" s="6"/>
      <c r="I25" s="6"/>
      <c r="J25" s="6"/>
      <c r="K25" s="5"/>
      <c r="L25" s="5"/>
      <c r="M25" s="5"/>
      <c r="N25" s="5"/>
      <c r="O25" s="5"/>
      <c r="P25" s="5"/>
      <c r="Q25" s="5"/>
      <c r="R25" s="5"/>
      <c r="S25" s="5"/>
      <c r="T25" s="5"/>
      <c r="U25" s="5"/>
      <c r="V25" s="5"/>
      <c r="W25" s="5"/>
      <c r="X25" s="5"/>
      <c r="Y25" s="5"/>
      <c r="Z25" s="5"/>
    </row>
    <row r="26" spans="1:26" ht="17.25" thickBot="1" x14ac:dyDescent="0.3">
      <c r="A26" s="6" t="s">
        <v>382</v>
      </c>
      <c r="B26" s="6"/>
      <c r="C26" s="6"/>
      <c r="D26" s="6"/>
      <c r="E26" s="6"/>
      <c r="F26" s="6"/>
      <c r="G26" s="6"/>
      <c r="H26" s="6"/>
      <c r="I26" s="6"/>
      <c r="J26" s="6"/>
      <c r="K26" s="5"/>
      <c r="L26" s="5"/>
      <c r="M26" s="5"/>
      <c r="N26" s="5"/>
      <c r="O26" s="5"/>
      <c r="P26" s="5"/>
      <c r="Q26" s="5"/>
      <c r="R26" s="5"/>
      <c r="S26" s="5"/>
      <c r="T26" s="5"/>
      <c r="U26" s="5"/>
      <c r="V26" s="5"/>
      <c r="W26" s="5"/>
      <c r="X26" s="5"/>
      <c r="Y26" s="5"/>
      <c r="Z26" s="5"/>
    </row>
    <row r="27" spans="1:26" ht="17.25" thickBot="1" x14ac:dyDescent="0.3">
      <c r="A27" s="6"/>
      <c r="B27" s="6"/>
      <c r="C27" s="6"/>
      <c r="D27" s="6"/>
      <c r="E27" s="6"/>
      <c r="F27" s="6"/>
      <c r="G27" s="6"/>
      <c r="H27" s="6"/>
      <c r="I27" s="6"/>
      <c r="J27" s="6"/>
      <c r="K27" s="5"/>
      <c r="L27" s="5"/>
      <c r="M27" s="5"/>
      <c r="N27" s="5"/>
      <c r="O27" s="5"/>
      <c r="P27" s="5"/>
      <c r="Q27" s="5"/>
      <c r="R27" s="5"/>
      <c r="S27" s="5"/>
      <c r="T27" s="5"/>
      <c r="U27" s="5"/>
      <c r="V27" s="5"/>
      <c r="W27" s="5"/>
      <c r="X27" s="5"/>
      <c r="Y27" s="5"/>
      <c r="Z27" s="5"/>
    </row>
    <row r="28" spans="1:26" ht="17.25" thickBot="1" x14ac:dyDescent="0.3">
      <c r="A28" s="6"/>
      <c r="B28" s="6"/>
      <c r="C28" s="6"/>
      <c r="D28" s="6"/>
      <c r="E28" s="6"/>
      <c r="F28" s="6"/>
      <c r="G28" s="6"/>
      <c r="H28" s="6"/>
      <c r="I28" s="6"/>
      <c r="J28" s="6"/>
      <c r="K28" s="5"/>
      <c r="L28" s="5"/>
      <c r="M28" s="5"/>
      <c r="N28" s="5"/>
      <c r="O28" s="5"/>
      <c r="P28" s="5"/>
      <c r="Q28" s="5"/>
      <c r="R28" s="5"/>
      <c r="S28" s="5"/>
      <c r="T28" s="5"/>
      <c r="U28" s="5"/>
      <c r="V28" s="5"/>
      <c r="W28" s="5"/>
      <c r="X28" s="5"/>
      <c r="Y28" s="5"/>
      <c r="Z28" s="5"/>
    </row>
    <row r="29" spans="1:26" ht="17.25" thickBot="1" x14ac:dyDescent="0.3">
      <c r="A29" s="6"/>
      <c r="B29" s="6"/>
      <c r="C29" s="6"/>
      <c r="D29" s="6"/>
      <c r="E29" s="6"/>
      <c r="F29" s="6"/>
      <c r="G29" s="6"/>
      <c r="H29" s="6"/>
      <c r="I29" s="6"/>
      <c r="J29" s="6"/>
      <c r="K29" s="5"/>
      <c r="L29" s="5"/>
      <c r="M29" s="5"/>
      <c r="N29" s="5"/>
      <c r="O29" s="5"/>
      <c r="P29" s="5"/>
      <c r="Q29" s="5"/>
      <c r="R29" s="5"/>
      <c r="S29" s="5"/>
      <c r="T29" s="5"/>
      <c r="U29" s="5"/>
      <c r="V29" s="5"/>
      <c r="W29" s="5"/>
      <c r="X29" s="5"/>
      <c r="Y29" s="5"/>
      <c r="Z29" s="5"/>
    </row>
    <row r="30" spans="1:26" ht="17.25" thickBot="1" x14ac:dyDescent="0.3">
      <c r="A30" s="6"/>
      <c r="B30" s="6"/>
      <c r="C30" s="6"/>
      <c r="D30" s="6"/>
      <c r="E30" s="6"/>
      <c r="F30" s="6"/>
      <c r="G30" s="6"/>
      <c r="H30" s="6"/>
      <c r="I30" s="6"/>
      <c r="J30" s="6"/>
      <c r="K30" s="5"/>
      <c r="L30" s="5"/>
      <c r="M30" s="5"/>
      <c r="N30" s="5"/>
      <c r="O30" s="5"/>
      <c r="P30" s="5"/>
      <c r="Q30" s="5"/>
      <c r="R30" s="5"/>
      <c r="S30" s="5"/>
      <c r="T30" s="5"/>
      <c r="U30" s="5"/>
      <c r="V30" s="5"/>
      <c r="W30" s="5"/>
      <c r="X30" s="5"/>
      <c r="Y30" s="5"/>
      <c r="Z30" s="5"/>
    </row>
    <row r="31" spans="1:26" ht="17.25" thickBot="1" x14ac:dyDescent="0.3">
      <c r="A31" s="6"/>
      <c r="B31" s="6"/>
      <c r="C31" s="6"/>
      <c r="D31" s="6"/>
      <c r="E31" s="6"/>
      <c r="F31" s="6"/>
      <c r="G31" s="6"/>
      <c r="H31" s="6"/>
      <c r="I31" s="6"/>
      <c r="J31" s="6"/>
      <c r="K31" s="5"/>
      <c r="L31" s="5"/>
      <c r="M31" s="5"/>
      <c r="N31" s="5"/>
      <c r="O31" s="5"/>
      <c r="P31" s="5"/>
      <c r="Q31" s="5"/>
      <c r="R31" s="5"/>
      <c r="S31" s="5"/>
      <c r="T31" s="5"/>
      <c r="U31" s="5"/>
      <c r="V31" s="5"/>
      <c r="W31" s="5"/>
      <c r="X31" s="5"/>
      <c r="Y31" s="5"/>
      <c r="Z31" s="5"/>
    </row>
    <row r="32" spans="1:26" ht="17.25" thickBot="1" x14ac:dyDescent="0.3">
      <c r="A32" s="6"/>
      <c r="B32" s="6"/>
      <c r="C32" s="6"/>
      <c r="D32" s="6"/>
      <c r="E32" s="6"/>
      <c r="F32" s="6"/>
      <c r="G32" s="6"/>
      <c r="H32" s="6"/>
      <c r="I32" s="6"/>
      <c r="J32" s="6"/>
      <c r="K32" s="5"/>
      <c r="L32" s="5"/>
      <c r="M32" s="5"/>
      <c r="N32" s="5"/>
      <c r="O32" s="5"/>
      <c r="P32" s="5"/>
      <c r="Q32" s="5"/>
      <c r="R32" s="5"/>
      <c r="S32" s="5"/>
      <c r="T32" s="5"/>
      <c r="U32" s="5"/>
      <c r="V32" s="5"/>
      <c r="W32" s="5"/>
      <c r="X32" s="5"/>
      <c r="Y32" s="5"/>
      <c r="Z32" s="5"/>
    </row>
    <row r="33" spans="1:26" ht="17.25" thickBot="1" x14ac:dyDescent="0.3">
      <c r="A33" s="6"/>
      <c r="B33" s="6"/>
      <c r="C33" s="6"/>
      <c r="D33" s="6"/>
      <c r="E33" s="6"/>
      <c r="F33" s="6"/>
      <c r="G33" s="6"/>
      <c r="H33" s="6"/>
      <c r="I33" s="6"/>
      <c r="J33" s="6"/>
      <c r="K33" s="5"/>
      <c r="L33" s="5"/>
      <c r="M33" s="5"/>
      <c r="N33" s="5"/>
      <c r="O33" s="5"/>
      <c r="P33" s="5"/>
      <c r="Q33" s="5"/>
      <c r="R33" s="5"/>
      <c r="S33" s="5"/>
      <c r="T33" s="5"/>
      <c r="U33" s="5"/>
      <c r="V33" s="5"/>
      <c r="W33" s="5"/>
      <c r="X33" s="5"/>
      <c r="Y33" s="5"/>
      <c r="Z33" s="5"/>
    </row>
    <row r="34" spans="1:26" ht="17.25" thickBot="1" x14ac:dyDescent="0.3">
      <c r="A34" s="6"/>
      <c r="B34" s="6"/>
      <c r="C34" s="6"/>
      <c r="D34" s="6"/>
      <c r="E34" s="6"/>
      <c r="F34" s="6"/>
      <c r="G34" s="6"/>
      <c r="H34" s="6"/>
      <c r="I34" s="6"/>
      <c r="J34" s="6"/>
      <c r="K34" s="5"/>
      <c r="L34" s="5"/>
      <c r="M34" s="5"/>
      <c r="N34" s="5"/>
      <c r="O34" s="5"/>
      <c r="P34" s="5"/>
      <c r="Q34" s="5"/>
      <c r="R34" s="5"/>
      <c r="S34" s="5"/>
      <c r="T34" s="5"/>
      <c r="U34" s="5"/>
      <c r="V34" s="5"/>
      <c r="W34" s="5"/>
      <c r="X34" s="5"/>
      <c r="Y34" s="5"/>
      <c r="Z34" s="5"/>
    </row>
    <row r="35" spans="1:26" ht="17.25" thickBot="1" x14ac:dyDescent="0.3">
      <c r="A35" s="6"/>
      <c r="B35" s="6"/>
      <c r="C35" s="6"/>
      <c r="D35" s="6"/>
      <c r="E35" s="6"/>
      <c r="F35" s="6"/>
      <c r="G35" s="6"/>
      <c r="H35" s="6"/>
      <c r="I35" s="6"/>
      <c r="J35" s="6"/>
      <c r="K35" s="5"/>
      <c r="L35" s="5"/>
      <c r="M35" s="5"/>
      <c r="N35" s="5"/>
      <c r="O35" s="5"/>
      <c r="P35" s="5"/>
      <c r="Q35" s="5"/>
      <c r="R35" s="5"/>
      <c r="S35" s="5"/>
      <c r="T35" s="5"/>
      <c r="U35" s="5"/>
      <c r="V35" s="5"/>
      <c r="W35" s="5"/>
      <c r="X35" s="5"/>
      <c r="Y35" s="5"/>
      <c r="Z35" s="5"/>
    </row>
    <row r="36" spans="1:26" ht="17.25" thickBot="1" x14ac:dyDescent="0.3">
      <c r="A36" s="6"/>
      <c r="B36" s="6"/>
      <c r="C36" s="6"/>
      <c r="D36" s="6"/>
      <c r="E36" s="6"/>
      <c r="F36" s="6"/>
      <c r="G36" s="6"/>
      <c r="H36" s="6"/>
      <c r="I36" s="6"/>
      <c r="J36" s="6"/>
      <c r="K36" s="5"/>
      <c r="L36" s="5"/>
      <c r="M36" s="5"/>
      <c r="N36" s="5"/>
      <c r="O36" s="5"/>
      <c r="P36" s="5"/>
      <c r="Q36" s="5"/>
      <c r="R36" s="5"/>
      <c r="S36" s="5"/>
      <c r="T36" s="5"/>
      <c r="U36" s="5"/>
      <c r="V36" s="5"/>
      <c r="W36" s="5"/>
      <c r="X36" s="5"/>
      <c r="Y36" s="5"/>
      <c r="Z36" s="5"/>
    </row>
    <row r="37" spans="1:26" ht="17.25" thickBot="1" x14ac:dyDescent="0.3">
      <c r="A37" s="6"/>
      <c r="B37" s="6"/>
      <c r="C37" s="6"/>
      <c r="D37" s="6"/>
      <c r="E37" s="6"/>
      <c r="F37" s="6"/>
      <c r="G37" s="6"/>
      <c r="H37" s="6"/>
      <c r="I37" s="6"/>
      <c r="J37" s="6"/>
      <c r="K37" s="5"/>
      <c r="L37" s="5"/>
      <c r="M37" s="5"/>
      <c r="N37" s="5"/>
      <c r="O37" s="5"/>
      <c r="P37" s="5"/>
      <c r="Q37" s="5"/>
      <c r="R37" s="5"/>
      <c r="S37" s="5"/>
      <c r="T37" s="5"/>
      <c r="U37" s="5"/>
      <c r="V37" s="5"/>
      <c r="W37" s="5"/>
      <c r="X37" s="5"/>
      <c r="Y37" s="5"/>
      <c r="Z37" s="5"/>
    </row>
    <row r="38" spans="1:26" ht="17.25" thickBot="1" x14ac:dyDescent="0.3">
      <c r="A38" s="6"/>
      <c r="B38" s="6"/>
      <c r="C38" s="6"/>
      <c r="D38" s="6"/>
      <c r="E38" s="6"/>
      <c r="F38" s="6"/>
      <c r="G38" s="6"/>
      <c r="H38" s="6"/>
      <c r="I38" s="6"/>
      <c r="J38" s="6"/>
      <c r="K38" s="5"/>
      <c r="L38" s="5"/>
      <c r="M38" s="5"/>
      <c r="N38" s="5"/>
      <c r="O38" s="5"/>
      <c r="P38" s="5"/>
      <c r="Q38" s="5"/>
      <c r="R38" s="5"/>
      <c r="S38" s="5"/>
      <c r="T38" s="5"/>
      <c r="U38" s="5"/>
      <c r="V38" s="5"/>
      <c r="W38" s="5"/>
      <c r="X38" s="5"/>
      <c r="Y38" s="5"/>
      <c r="Z38" s="5"/>
    </row>
    <row r="39" spans="1:26" ht="17.25" thickBot="1" x14ac:dyDescent="0.3">
      <c r="A39" s="6"/>
      <c r="B39" s="6"/>
      <c r="C39" s="6"/>
      <c r="D39" s="6"/>
      <c r="E39" s="6"/>
      <c r="F39" s="6"/>
      <c r="G39" s="6"/>
      <c r="H39" s="6"/>
      <c r="I39" s="6"/>
      <c r="J39" s="6"/>
      <c r="K39" s="5"/>
      <c r="L39" s="5"/>
      <c r="M39" s="5"/>
      <c r="N39" s="5"/>
      <c r="O39" s="5"/>
      <c r="P39" s="5"/>
      <c r="Q39" s="5"/>
      <c r="R39" s="5"/>
      <c r="S39" s="5"/>
      <c r="T39" s="5"/>
      <c r="U39" s="5"/>
      <c r="V39" s="5"/>
      <c r="W39" s="5"/>
      <c r="X39" s="5"/>
      <c r="Y39" s="5"/>
      <c r="Z39" s="5"/>
    </row>
    <row r="40" spans="1:26" ht="17.25" thickBot="1" x14ac:dyDescent="0.3">
      <c r="A40" s="6"/>
      <c r="B40" s="6"/>
      <c r="C40" s="6"/>
      <c r="D40" s="6"/>
      <c r="E40" s="6"/>
      <c r="F40" s="6"/>
      <c r="G40" s="6"/>
      <c r="H40" s="6"/>
      <c r="I40" s="6"/>
      <c r="J40" s="6"/>
      <c r="K40" s="5"/>
      <c r="L40" s="5"/>
      <c r="M40" s="5"/>
      <c r="N40" s="5"/>
      <c r="O40" s="5"/>
      <c r="P40" s="5"/>
      <c r="Q40" s="5"/>
      <c r="R40" s="5"/>
      <c r="S40" s="5"/>
      <c r="T40" s="5"/>
      <c r="U40" s="5"/>
      <c r="V40" s="5"/>
      <c r="W40" s="5"/>
      <c r="X40" s="5"/>
      <c r="Y40" s="5"/>
      <c r="Z40" s="5"/>
    </row>
    <row r="41" spans="1:26" ht="17.25" thickBot="1" x14ac:dyDescent="0.3">
      <c r="A41" s="6"/>
      <c r="B41" s="6"/>
      <c r="C41" s="6"/>
      <c r="D41" s="6"/>
      <c r="E41" s="6"/>
      <c r="F41" s="6"/>
      <c r="G41" s="6"/>
      <c r="H41" s="6"/>
      <c r="I41" s="6"/>
      <c r="J41" s="6"/>
      <c r="K41" s="5"/>
      <c r="L41" s="5"/>
      <c r="M41" s="5"/>
      <c r="N41" s="5"/>
      <c r="O41" s="5"/>
      <c r="P41" s="5"/>
      <c r="Q41" s="5"/>
      <c r="R41" s="5"/>
      <c r="S41" s="5"/>
      <c r="T41" s="5"/>
      <c r="U41" s="5"/>
      <c r="V41" s="5"/>
      <c r="W41" s="5"/>
      <c r="X41" s="5"/>
      <c r="Y41" s="5"/>
      <c r="Z41" s="5"/>
    </row>
    <row r="42" spans="1:26" ht="17.25" thickBot="1" x14ac:dyDescent="0.3">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ht="17.25" thickBot="1" x14ac:dyDescent="0.3">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ht="17.25" thickBot="1" x14ac:dyDescent="0.3">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row r="1000" spans="1:26" ht="17.25" thickBot="1" x14ac:dyDescent="0.3">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phoneticPr fontId="11" type="noConversion"/>
  <dataValidations count="1">
    <dataValidation type="list" allowBlank="1" showErrorMessage="1" sqref="J2:J3" xr:uid="{4DB46897-28DB-4CBA-B976-9A8778210E08}">
      <formula1>"Critical ,High,Medium,Low"</formula1>
    </dataValidation>
  </dataValidation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8D23-4960-4CE3-807F-8B9E371F1CD9}">
  <dimension ref="A1:Z1000"/>
  <sheetViews>
    <sheetView zoomScale="61" workbookViewId="0">
      <selection sqref="A1:XFD1048576"/>
    </sheetView>
  </sheetViews>
  <sheetFormatPr defaultColWidth="34" defaultRowHeight="16.5" x14ac:dyDescent="0.25"/>
  <cols>
    <col min="1" max="1" width="15.25" style="4" bestFit="1" customWidth="1"/>
    <col min="2" max="2" width="14.625" style="4" bestFit="1" customWidth="1"/>
    <col min="3" max="3" width="34" style="4"/>
    <col min="4" max="4" width="33.625" style="4" bestFit="1" customWidth="1"/>
    <col min="5" max="5" width="40" style="4" customWidth="1"/>
    <col min="6" max="6" width="33.25" style="4" bestFit="1" customWidth="1"/>
    <col min="7" max="7" width="33.875" style="4" bestFit="1" customWidth="1"/>
    <col min="8" max="8" width="35.5" style="4" bestFit="1" customWidth="1"/>
    <col min="9" max="9" width="23.625" style="4" bestFit="1" customWidth="1"/>
    <col min="10" max="10" width="18.125" style="4" bestFit="1" customWidth="1"/>
    <col min="11" max="11" width="18.125" customWidth="1"/>
    <col min="12" max="12" width="12.125" bestFit="1" customWidth="1"/>
    <col min="13" max="13" width="12.375" bestFit="1" customWidth="1"/>
    <col min="14" max="14" width="17.5" bestFit="1" customWidth="1"/>
    <col min="15" max="15" width="17.875" bestFit="1" customWidth="1"/>
  </cols>
  <sheetData>
    <row r="1" spans="1:26" s="12" customFormat="1" x14ac:dyDescent="0.2">
      <c r="A1" s="26" t="s">
        <v>303</v>
      </c>
      <c r="B1" s="26" t="s">
        <v>204</v>
      </c>
      <c r="C1" s="26" t="s">
        <v>304</v>
      </c>
      <c r="D1" s="26" t="s">
        <v>305</v>
      </c>
      <c r="E1" s="26" t="s">
        <v>306</v>
      </c>
      <c r="F1" s="26" t="s">
        <v>307</v>
      </c>
      <c r="G1" s="26" t="s">
        <v>308</v>
      </c>
      <c r="H1" s="26" t="s">
        <v>309</v>
      </c>
      <c r="I1" s="27" t="s">
        <v>56</v>
      </c>
      <c r="J1" s="26" t="s">
        <v>310</v>
      </c>
      <c r="K1" s="11"/>
      <c r="L1" s="8" t="s">
        <v>311</v>
      </c>
      <c r="M1" s="9" t="s">
        <v>312</v>
      </c>
      <c r="N1" s="9" t="s">
        <v>313</v>
      </c>
      <c r="O1" s="10" t="s">
        <v>314</v>
      </c>
      <c r="P1" s="11"/>
      <c r="Q1" s="11"/>
      <c r="R1" s="11"/>
      <c r="S1" s="11"/>
      <c r="T1" s="11"/>
      <c r="U1" s="11"/>
      <c r="V1" s="11"/>
      <c r="W1" s="11"/>
      <c r="X1" s="11"/>
      <c r="Y1" s="11"/>
      <c r="Z1" s="11"/>
    </row>
    <row r="2" spans="1:26" ht="82.5" x14ac:dyDescent="0.25">
      <c r="A2" s="6" t="s">
        <v>383</v>
      </c>
      <c r="B2" s="56" t="s">
        <v>208</v>
      </c>
      <c r="C2" s="6" t="s">
        <v>384</v>
      </c>
      <c r="D2" s="6" t="s">
        <v>385</v>
      </c>
      <c r="E2" s="6" t="s">
        <v>386</v>
      </c>
      <c r="F2" s="6" t="s">
        <v>387</v>
      </c>
      <c r="G2" s="6" t="s">
        <v>388</v>
      </c>
      <c r="H2" s="6" t="s">
        <v>320</v>
      </c>
      <c r="I2" s="6" t="s">
        <v>61</v>
      </c>
      <c r="J2" s="6" t="s">
        <v>211</v>
      </c>
      <c r="K2" s="5"/>
      <c r="L2" s="53" t="s">
        <v>61</v>
      </c>
      <c r="M2" s="53">
        <f>COUNTIF($I$2:$I$150,"Pass")</f>
        <v>14</v>
      </c>
      <c r="N2" s="53" t="s">
        <v>321</v>
      </c>
      <c r="O2" s="53">
        <f>COUNTIF($J$2:$J$150,"Critical ")</f>
        <v>0</v>
      </c>
      <c r="P2" s="5"/>
      <c r="Q2" s="5"/>
      <c r="R2" s="5"/>
      <c r="S2" s="5"/>
      <c r="T2" s="5"/>
      <c r="U2" s="5"/>
      <c r="V2" s="5"/>
      <c r="W2" s="5"/>
      <c r="X2" s="5"/>
      <c r="Y2" s="5"/>
      <c r="Z2" s="5"/>
    </row>
    <row r="3" spans="1:26" ht="82.5" x14ac:dyDescent="0.25">
      <c r="A3" s="6" t="s">
        <v>389</v>
      </c>
      <c r="B3" s="56" t="s">
        <v>212</v>
      </c>
      <c r="C3" s="6" t="s">
        <v>390</v>
      </c>
      <c r="D3" s="6" t="s">
        <v>385</v>
      </c>
      <c r="E3" s="6" t="s">
        <v>386</v>
      </c>
      <c r="F3" s="6" t="s">
        <v>391</v>
      </c>
      <c r="G3" s="6" t="s">
        <v>392</v>
      </c>
      <c r="H3" s="6" t="s">
        <v>320</v>
      </c>
      <c r="I3" s="6" t="s">
        <v>61</v>
      </c>
      <c r="J3" s="6" t="s">
        <v>211</v>
      </c>
      <c r="K3" s="5"/>
      <c r="L3" s="54" t="s">
        <v>327</v>
      </c>
      <c r="M3" s="53">
        <f>COUNTIF($I$2:$I$150,"Fail")</f>
        <v>0</v>
      </c>
      <c r="N3" s="54" t="s">
        <v>211</v>
      </c>
      <c r="O3" s="53">
        <f>COUNTIF($J$2:$J$150,"High")</f>
        <v>9</v>
      </c>
      <c r="P3" s="5"/>
      <c r="Q3" s="5"/>
      <c r="R3" s="5"/>
      <c r="S3" s="5"/>
      <c r="T3" s="5"/>
      <c r="U3" s="5"/>
      <c r="V3" s="5"/>
      <c r="W3" s="5"/>
      <c r="X3" s="5"/>
      <c r="Y3" s="5"/>
      <c r="Z3" s="5"/>
    </row>
    <row r="4" spans="1:26" ht="82.5" x14ac:dyDescent="0.25">
      <c r="A4" s="6" t="s">
        <v>393</v>
      </c>
      <c r="B4" s="56" t="s">
        <v>212</v>
      </c>
      <c r="C4" s="6" t="s">
        <v>394</v>
      </c>
      <c r="D4" s="6" t="s">
        <v>385</v>
      </c>
      <c r="E4" s="6" t="s">
        <v>386</v>
      </c>
      <c r="F4" s="6" t="s">
        <v>395</v>
      </c>
      <c r="G4" s="6" t="s">
        <v>392</v>
      </c>
      <c r="H4" s="6" t="s">
        <v>320</v>
      </c>
      <c r="I4" s="6" t="s">
        <v>61</v>
      </c>
      <c r="J4" s="6" t="s">
        <v>211</v>
      </c>
      <c r="K4" s="5"/>
      <c r="L4" s="75" t="s">
        <v>333</v>
      </c>
      <c r="M4" s="53">
        <f>COUNTIF($I$2:$I$150,"EX")</f>
        <v>0</v>
      </c>
      <c r="N4" s="54" t="s">
        <v>216</v>
      </c>
      <c r="O4" s="53">
        <f>COUNTIF($J$2:$J$150,"Medium"
)</f>
        <v>3</v>
      </c>
      <c r="P4" s="5"/>
      <c r="Q4" s="5"/>
      <c r="R4" s="5"/>
      <c r="S4" s="5"/>
      <c r="T4" s="5"/>
      <c r="U4" s="5"/>
      <c r="V4" s="5"/>
      <c r="W4" s="5"/>
      <c r="X4" s="5"/>
      <c r="Y4" s="5"/>
      <c r="Z4" s="5"/>
    </row>
    <row r="5" spans="1:26" ht="82.5" x14ac:dyDescent="0.25">
      <c r="A5" s="6" t="s">
        <v>396</v>
      </c>
      <c r="B5" s="56" t="s">
        <v>212</v>
      </c>
      <c r="C5" s="6" t="s">
        <v>397</v>
      </c>
      <c r="D5" s="6" t="s">
        <v>316</v>
      </c>
      <c r="E5" s="6" t="s">
        <v>386</v>
      </c>
      <c r="F5" s="6" t="s">
        <v>398</v>
      </c>
      <c r="G5" s="6" t="s">
        <v>392</v>
      </c>
      <c r="H5" s="6" t="s">
        <v>320</v>
      </c>
      <c r="I5" s="6" t="s">
        <v>61</v>
      </c>
      <c r="J5" s="6" t="s">
        <v>211</v>
      </c>
      <c r="K5" s="5"/>
      <c r="L5" s="54" t="s">
        <v>339</v>
      </c>
      <c r="M5" s="53">
        <f>SUM(M2:M4)</f>
        <v>14</v>
      </c>
      <c r="N5" s="54" t="s">
        <v>221</v>
      </c>
      <c r="O5" s="53">
        <f>COUNTIF($J$2:$J$150,"Low"
)</f>
        <v>2</v>
      </c>
      <c r="P5" s="5"/>
      <c r="Q5" s="5"/>
      <c r="R5" s="5"/>
      <c r="S5" s="5"/>
      <c r="T5" s="5"/>
      <c r="U5" s="5"/>
      <c r="V5" s="5"/>
      <c r="W5" s="5"/>
      <c r="X5" s="5"/>
      <c r="Y5" s="5"/>
      <c r="Z5" s="5"/>
    </row>
    <row r="6" spans="1:26" ht="83.25" thickBot="1" x14ac:dyDescent="0.3">
      <c r="A6" s="6" t="s">
        <v>399</v>
      </c>
      <c r="B6" s="56" t="s">
        <v>212</v>
      </c>
      <c r="C6" s="6" t="s">
        <v>400</v>
      </c>
      <c r="D6" s="6" t="s">
        <v>316</v>
      </c>
      <c r="E6" s="6" t="s">
        <v>386</v>
      </c>
      <c r="F6" s="6" t="s">
        <v>401</v>
      </c>
      <c r="G6" s="6" t="s">
        <v>392</v>
      </c>
      <c r="H6" s="6" t="s">
        <v>320</v>
      </c>
      <c r="I6" s="6" t="s">
        <v>61</v>
      </c>
      <c r="J6" s="6" t="s">
        <v>211</v>
      </c>
      <c r="K6" s="5"/>
      <c r="L6" s="5"/>
      <c r="M6" s="5"/>
      <c r="N6" s="5"/>
      <c r="O6" s="5"/>
      <c r="P6" s="5"/>
      <c r="Q6" s="5"/>
      <c r="R6" s="5"/>
      <c r="S6" s="5"/>
      <c r="T6" s="5"/>
      <c r="U6" s="5"/>
      <c r="V6" s="5"/>
      <c r="W6" s="5"/>
      <c r="X6" s="5"/>
      <c r="Y6" s="5"/>
      <c r="Z6" s="5"/>
    </row>
    <row r="7" spans="1:26" ht="83.25" thickBot="1" x14ac:dyDescent="0.3">
      <c r="A7" s="6" t="s">
        <v>402</v>
      </c>
      <c r="B7" s="56" t="s">
        <v>212</v>
      </c>
      <c r="C7" s="6" t="s">
        <v>403</v>
      </c>
      <c r="D7" s="6" t="s">
        <v>316</v>
      </c>
      <c r="E7" s="6" t="s">
        <v>386</v>
      </c>
      <c r="F7" s="6" t="s">
        <v>404</v>
      </c>
      <c r="G7" s="6" t="s">
        <v>392</v>
      </c>
      <c r="H7" s="6" t="s">
        <v>320</v>
      </c>
      <c r="I7" s="6" t="s">
        <v>61</v>
      </c>
      <c r="J7" s="6" t="s">
        <v>211</v>
      </c>
      <c r="K7" s="5"/>
      <c r="L7" s="5"/>
      <c r="M7" s="5"/>
      <c r="N7" s="5"/>
      <c r="O7" s="5"/>
      <c r="P7" s="5"/>
      <c r="Q7" s="5"/>
      <c r="R7" s="5"/>
      <c r="S7" s="5"/>
      <c r="T7" s="5"/>
      <c r="U7" s="5"/>
      <c r="V7" s="5"/>
      <c r="W7" s="5"/>
      <c r="X7" s="5"/>
      <c r="Y7" s="5"/>
      <c r="Z7" s="5"/>
    </row>
    <row r="8" spans="1:26" ht="50.25" thickBot="1" x14ac:dyDescent="0.3">
      <c r="A8" s="6" t="s">
        <v>405</v>
      </c>
      <c r="B8" s="56" t="s">
        <v>214</v>
      </c>
      <c r="C8" s="6" t="s">
        <v>406</v>
      </c>
      <c r="D8" s="6" t="s">
        <v>316</v>
      </c>
      <c r="E8" s="6" t="s">
        <v>407</v>
      </c>
      <c r="F8" s="6" t="s">
        <v>408</v>
      </c>
      <c r="G8" s="6" t="s">
        <v>392</v>
      </c>
      <c r="H8" s="6" t="s">
        <v>320</v>
      </c>
      <c r="I8" s="6" t="s">
        <v>61</v>
      </c>
      <c r="J8" s="6" t="s">
        <v>216</v>
      </c>
      <c r="K8" s="5"/>
      <c r="L8" s="5"/>
      <c r="M8" s="5"/>
      <c r="N8" s="5"/>
      <c r="O8" s="5"/>
      <c r="P8" s="5"/>
      <c r="Q8" s="5"/>
      <c r="R8" s="5"/>
      <c r="S8" s="5"/>
      <c r="T8" s="5"/>
      <c r="U8" s="5"/>
      <c r="V8" s="5"/>
      <c r="W8" s="5"/>
      <c r="X8" s="5"/>
      <c r="Y8" s="5"/>
      <c r="Z8" s="5"/>
    </row>
    <row r="9" spans="1:26" ht="66" x14ac:dyDescent="0.25">
      <c r="A9" s="6" t="s">
        <v>409</v>
      </c>
      <c r="B9" s="56" t="s">
        <v>214</v>
      </c>
      <c r="C9" s="6" t="s">
        <v>410</v>
      </c>
      <c r="D9" s="6" t="s">
        <v>316</v>
      </c>
      <c r="E9" s="6" t="s">
        <v>411</v>
      </c>
      <c r="F9" s="6" t="s">
        <v>412</v>
      </c>
      <c r="G9" s="6" t="s">
        <v>392</v>
      </c>
      <c r="H9" s="6" t="s">
        <v>320</v>
      </c>
      <c r="I9" s="6" t="s">
        <v>61</v>
      </c>
      <c r="J9" s="6" t="s">
        <v>216</v>
      </c>
      <c r="K9" s="5"/>
      <c r="L9" s="5"/>
      <c r="M9" s="5"/>
      <c r="N9" s="5"/>
      <c r="O9" s="5"/>
      <c r="P9" s="5"/>
      <c r="Q9" s="5"/>
      <c r="R9" s="5"/>
      <c r="S9" s="5"/>
      <c r="T9" s="5"/>
      <c r="U9" s="5"/>
      <c r="V9" s="5"/>
      <c r="W9" s="5"/>
      <c r="X9" s="5"/>
      <c r="Y9" s="5"/>
      <c r="Z9" s="5"/>
    </row>
    <row r="10" spans="1:26" ht="66" x14ac:dyDescent="0.25">
      <c r="A10" s="6" t="s">
        <v>413</v>
      </c>
      <c r="B10" s="56" t="s">
        <v>214</v>
      </c>
      <c r="C10" s="6" t="s">
        <v>414</v>
      </c>
      <c r="D10" s="6" t="s">
        <v>316</v>
      </c>
      <c r="E10" s="6" t="s">
        <v>415</v>
      </c>
      <c r="F10" s="6" t="s">
        <v>416</v>
      </c>
      <c r="G10" s="6" t="s">
        <v>392</v>
      </c>
      <c r="H10" s="6" t="s">
        <v>320</v>
      </c>
      <c r="I10" s="6" t="s">
        <v>61</v>
      </c>
      <c r="J10" s="6" t="s">
        <v>216</v>
      </c>
      <c r="K10" s="5"/>
      <c r="L10" s="5"/>
      <c r="M10" s="5"/>
      <c r="N10" s="5"/>
      <c r="O10" s="5"/>
      <c r="P10" s="5"/>
      <c r="Q10" s="5"/>
      <c r="R10" s="5"/>
      <c r="S10" s="5"/>
      <c r="T10" s="5"/>
      <c r="U10" s="5"/>
      <c r="V10" s="5"/>
      <c r="W10" s="5"/>
      <c r="X10" s="5"/>
      <c r="Y10" s="5"/>
      <c r="Z10" s="5"/>
    </row>
    <row r="11" spans="1:26" ht="83.25" thickBot="1" x14ac:dyDescent="0.3">
      <c r="A11" s="6" t="s">
        <v>417</v>
      </c>
      <c r="B11" s="56" t="s">
        <v>217</v>
      </c>
      <c r="C11" s="6" t="s">
        <v>418</v>
      </c>
      <c r="D11" s="6" t="s">
        <v>316</v>
      </c>
      <c r="E11" s="6" t="s">
        <v>386</v>
      </c>
      <c r="F11" s="6" t="s">
        <v>419</v>
      </c>
      <c r="G11" s="6" t="s">
        <v>392</v>
      </c>
      <c r="H11" s="6" t="s">
        <v>320</v>
      </c>
      <c r="I11" s="6" t="s">
        <v>61</v>
      </c>
      <c r="J11" s="6" t="s">
        <v>211</v>
      </c>
      <c r="K11" s="5"/>
      <c r="L11" s="5"/>
      <c r="M11" s="5"/>
      <c r="N11" s="5"/>
      <c r="O11" s="5"/>
      <c r="P11" s="5"/>
      <c r="Q11" s="5"/>
      <c r="R11" s="5"/>
      <c r="S11" s="5"/>
      <c r="T11" s="5"/>
      <c r="U11" s="5"/>
      <c r="V11" s="5"/>
      <c r="W11" s="5"/>
      <c r="X11" s="5"/>
      <c r="Y11" s="5"/>
      <c r="Z11" s="5"/>
    </row>
    <row r="12" spans="1:26" ht="50.25" thickBot="1" x14ac:dyDescent="0.3">
      <c r="A12" s="6" t="s">
        <v>420</v>
      </c>
      <c r="B12" s="76" t="s">
        <v>219</v>
      </c>
      <c r="C12" s="77" t="s">
        <v>421</v>
      </c>
      <c r="D12" s="6" t="s">
        <v>316</v>
      </c>
      <c r="E12" s="6" t="s">
        <v>422</v>
      </c>
      <c r="F12" s="6" t="s">
        <v>316</v>
      </c>
      <c r="G12" s="6" t="s">
        <v>423</v>
      </c>
      <c r="H12" s="6" t="s">
        <v>320</v>
      </c>
      <c r="I12" s="6" t="s">
        <v>61</v>
      </c>
      <c r="J12" s="6" t="s">
        <v>221</v>
      </c>
      <c r="K12" s="5"/>
      <c r="L12" s="5"/>
      <c r="M12" s="5"/>
      <c r="N12" s="5"/>
      <c r="O12" s="5"/>
      <c r="P12" s="5"/>
      <c r="Q12" s="5"/>
      <c r="R12" s="5"/>
      <c r="S12" s="5"/>
      <c r="T12" s="5"/>
      <c r="U12" s="5"/>
      <c r="V12" s="5"/>
      <c r="W12" s="5"/>
      <c r="X12" s="5"/>
      <c r="Y12" s="5"/>
      <c r="Z12" s="5"/>
    </row>
    <row r="13" spans="1:26" ht="50.25" thickBot="1" x14ac:dyDescent="0.3">
      <c r="A13" s="6" t="s">
        <v>424</v>
      </c>
      <c r="B13" s="76" t="s">
        <v>219</v>
      </c>
      <c r="C13" s="77" t="s">
        <v>425</v>
      </c>
      <c r="D13" s="6" t="s">
        <v>316</v>
      </c>
      <c r="E13" s="6" t="s">
        <v>422</v>
      </c>
      <c r="F13" s="6" t="s">
        <v>316</v>
      </c>
      <c r="G13" s="6" t="s">
        <v>423</v>
      </c>
      <c r="H13" s="6" t="s">
        <v>320</v>
      </c>
      <c r="I13" s="6" t="s">
        <v>61</v>
      </c>
      <c r="J13" s="6" t="s">
        <v>221</v>
      </c>
      <c r="K13" s="5"/>
      <c r="L13" s="5"/>
      <c r="M13" s="5"/>
      <c r="N13" s="5"/>
      <c r="O13" s="5"/>
      <c r="P13" s="5"/>
      <c r="Q13" s="5"/>
      <c r="R13" s="5"/>
      <c r="S13" s="5"/>
      <c r="T13" s="5"/>
      <c r="U13" s="5"/>
      <c r="V13" s="5"/>
      <c r="W13" s="5"/>
      <c r="X13" s="5"/>
      <c r="Y13" s="5"/>
      <c r="Z13" s="5"/>
    </row>
    <row r="14" spans="1:26" ht="83.25" thickBot="1" x14ac:dyDescent="0.3">
      <c r="A14" s="6" t="s">
        <v>426</v>
      </c>
      <c r="B14" s="76" t="s">
        <v>222</v>
      </c>
      <c r="C14" s="6" t="s">
        <v>427</v>
      </c>
      <c r="D14" s="6" t="s">
        <v>428</v>
      </c>
      <c r="E14" s="6" t="s">
        <v>386</v>
      </c>
      <c r="F14" s="6" t="s">
        <v>387</v>
      </c>
      <c r="G14" s="6" t="s">
        <v>388</v>
      </c>
      <c r="H14" s="6" t="s">
        <v>320</v>
      </c>
      <c r="I14" s="6" t="s">
        <v>61</v>
      </c>
      <c r="J14" s="6" t="s">
        <v>211</v>
      </c>
      <c r="K14" s="5"/>
      <c r="L14" s="5"/>
      <c r="M14" s="5"/>
      <c r="N14" s="5"/>
      <c r="O14" s="5"/>
      <c r="P14" s="5"/>
      <c r="Q14" s="5"/>
      <c r="R14" s="5"/>
      <c r="S14" s="5"/>
      <c r="T14" s="5"/>
      <c r="U14" s="5"/>
      <c r="V14" s="5"/>
      <c r="W14" s="5"/>
      <c r="X14" s="5"/>
      <c r="Y14" s="5"/>
      <c r="Z14" s="5"/>
    </row>
    <row r="15" spans="1:26" ht="83.25" thickBot="1" x14ac:dyDescent="0.3">
      <c r="A15" s="6" t="s">
        <v>429</v>
      </c>
      <c r="B15" s="76" t="s">
        <v>222</v>
      </c>
      <c r="C15" s="6" t="s">
        <v>430</v>
      </c>
      <c r="D15" s="6" t="s">
        <v>431</v>
      </c>
      <c r="E15" s="6" t="s">
        <v>432</v>
      </c>
      <c r="F15" s="6" t="s">
        <v>433</v>
      </c>
      <c r="G15" s="6" t="s">
        <v>434</v>
      </c>
      <c r="H15" s="6" t="s">
        <v>320</v>
      </c>
      <c r="I15" s="6" t="s">
        <v>61</v>
      </c>
      <c r="J15" s="6" t="s">
        <v>211</v>
      </c>
      <c r="K15" s="5"/>
      <c r="L15" s="5"/>
      <c r="M15" s="5"/>
      <c r="N15" s="5"/>
      <c r="O15" s="5"/>
      <c r="P15" s="5"/>
      <c r="Q15" s="5"/>
      <c r="R15" s="5"/>
      <c r="S15" s="5"/>
      <c r="T15" s="5"/>
      <c r="U15" s="5"/>
      <c r="V15" s="5"/>
      <c r="W15" s="5"/>
      <c r="X15" s="5"/>
      <c r="Y15" s="5"/>
      <c r="Z15" s="5"/>
    </row>
    <row r="16" spans="1:26" ht="17.25" thickBot="1" x14ac:dyDescent="0.3">
      <c r="A16" s="6" t="s">
        <v>435</v>
      </c>
      <c r="B16" s="6"/>
      <c r="C16" s="6"/>
      <c r="D16" s="6"/>
      <c r="E16" s="6"/>
      <c r="F16" s="6"/>
      <c r="G16" s="6"/>
      <c r="H16" s="6"/>
      <c r="I16" s="6"/>
      <c r="J16" s="6"/>
      <c r="K16" s="5"/>
      <c r="L16" s="5"/>
      <c r="M16" s="5"/>
      <c r="N16" s="5"/>
      <c r="O16" s="5"/>
      <c r="P16" s="5"/>
      <c r="Q16" s="5"/>
      <c r="R16" s="5"/>
      <c r="S16" s="5"/>
      <c r="T16" s="5"/>
      <c r="U16" s="5"/>
      <c r="V16" s="5"/>
      <c r="W16" s="5"/>
      <c r="X16" s="5"/>
      <c r="Y16" s="5"/>
      <c r="Z16" s="5"/>
    </row>
    <row r="17" spans="1:26" x14ac:dyDescent="0.25">
      <c r="A17" s="6" t="s">
        <v>436</v>
      </c>
      <c r="B17" s="6"/>
      <c r="C17" s="6"/>
      <c r="D17" s="6"/>
      <c r="E17" s="6"/>
      <c r="F17" s="6"/>
      <c r="G17" s="6"/>
      <c r="H17" s="6"/>
      <c r="I17" s="6"/>
      <c r="J17" s="6"/>
      <c r="K17" s="5"/>
      <c r="L17" s="5"/>
      <c r="M17" s="5"/>
      <c r="N17" s="5"/>
      <c r="O17" s="5"/>
      <c r="P17" s="5"/>
      <c r="Q17" s="5"/>
      <c r="R17" s="5"/>
      <c r="S17" s="5"/>
      <c r="T17" s="5"/>
      <c r="U17" s="5"/>
      <c r="V17" s="5"/>
      <c r="W17" s="5"/>
      <c r="X17" s="5"/>
      <c r="Y17" s="5"/>
      <c r="Z17" s="5"/>
    </row>
    <row r="18" spans="1:26" x14ac:dyDescent="0.25">
      <c r="A18" s="6" t="s">
        <v>437</v>
      </c>
      <c r="B18" s="6"/>
      <c r="C18" s="6"/>
      <c r="D18" s="6"/>
      <c r="E18" s="6"/>
      <c r="F18" s="6"/>
      <c r="G18" s="6"/>
      <c r="H18" s="6"/>
      <c r="I18" s="6"/>
      <c r="J18" s="6"/>
      <c r="K18" s="5"/>
      <c r="L18" s="5"/>
      <c r="M18" s="5"/>
      <c r="N18" s="5"/>
      <c r="O18" s="5"/>
      <c r="P18" s="5"/>
      <c r="Q18" s="5"/>
      <c r="R18" s="5"/>
      <c r="S18" s="5"/>
      <c r="T18" s="5"/>
      <c r="U18" s="5"/>
      <c r="V18" s="5"/>
      <c r="W18" s="5"/>
      <c r="X18" s="5"/>
      <c r="Y18" s="5"/>
      <c r="Z18" s="5"/>
    </row>
    <row r="19" spans="1:26" x14ac:dyDescent="0.25">
      <c r="A19" s="6" t="s">
        <v>438</v>
      </c>
      <c r="B19" s="6"/>
      <c r="C19" s="6"/>
      <c r="D19" s="6"/>
      <c r="E19" s="6"/>
      <c r="F19" s="6"/>
      <c r="G19" s="6"/>
      <c r="H19" s="6"/>
      <c r="I19" s="6"/>
      <c r="J19" s="6"/>
      <c r="K19" s="5"/>
      <c r="L19" s="5"/>
      <c r="M19" s="5"/>
      <c r="N19" s="5"/>
      <c r="O19" s="5"/>
      <c r="P19" s="5"/>
      <c r="Q19" s="5"/>
      <c r="R19" s="5"/>
      <c r="S19" s="5"/>
      <c r="T19" s="5"/>
      <c r="U19" s="5"/>
      <c r="V19" s="5"/>
      <c r="W19" s="5"/>
      <c r="X19" s="5"/>
      <c r="Y19" s="5"/>
      <c r="Z19" s="5"/>
    </row>
    <row r="20" spans="1:26" x14ac:dyDescent="0.25">
      <c r="A20" s="6"/>
      <c r="B20" s="6"/>
      <c r="C20" s="6"/>
      <c r="D20" s="6"/>
      <c r="E20" s="6"/>
      <c r="F20" s="6"/>
      <c r="G20" s="6"/>
      <c r="H20" s="6"/>
      <c r="I20" s="6"/>
      <c r="J20" s="6"/>
      <c r="K20" s="5"/>
      <c r="L20" s="5"/>
      <c r="M20" s="5"/>
      <c r="N20" s="5"/>
      <c r="O20" s="5"/>
      <c r="P20" s="5"/>
      <c r="Q20" s="5"/>
      <c r="R20" s="5"/>
      <c r="S20" s="5"/>
      <c r="T20" s="5"/>
      <c r="U20" s="5"/>
      <c r="V20" s="5"/>
      <c r="W20" s="5"/>
      <c r="X20" s="5"/>
      <c r="Y20" s="5"/>
      <c r="Z20" s="5"/>
    </row>
    <row r="21" spans="1:26" x14ac:dyDescent="0.25">
      <c r="A21" s="6"/>
      <c r="B21" s="6"/>
      <c r="C21" s="6"/>
      <c r="D21" s="6"/>
      <c r="E21" s="6"/>
      <c r="F21" s="6"/>
      <c r="G21" s="6"/>
      <c r="H21" s="6"/>
      <c r="I21" s="6"/>
      <c r="J21" s="6"/>
      <c r="K21" s="5"/>
      <c r="L21" s="5"/>
      <c r="M21" s="5"/>
      <c r="N21" s="5"/>
      <c r="O21" s="5"/>
      <c r="P21" s="5"/>
      <c r="Q21" s="5"/>
      <c r="R21" s="5"/>
      <c r="S21" s="5"/>
      <c r="T21" s="5"/>
      <c r="U21" s="5"/>
      <c r="V21" s="5"/>
      <c r="W21" s="5"/>
      <c r="X21" s="5"/>
      <c r="Y21" s="5"/>
      <c r="Z21" s="5"/>
    </row>
    <row r="22" spans="1:26" x14ac:dyDescent="0.25">
      <c r="A22" s="6"/>
      <c r="B22" s="6"/>
      <c r="C22" s="6"/>
      <c r="D22" s="6"/>
      <c r="E22" s="6"/>
      <c r="F22" s="6"/>
      <c r="G22" s="6"/>
      <c r="H22" s="6"/>
      <c r="I22" s="6"/>
      <c r="J22" s="6"/>
      <c r="K22" s="5"/>
      <c r="L22" s="5"/>
      <c r="M22" s="5"/>
      <c r="N22" s="5"/>
      <c r="O22" s="5"/>
      <c r="P22" s="5"/>
      <c r="Q22" s="5"/>
      <c r="R22" s="5"/>
      <c r="S22" s="5"/>
      <c r="T22" s="5"/>
      <c r="U22" s="5"/>
      <c r="V22" s="5"/>
      <c r="W22" s="5"/>
      <c r="X22" s="5"/>
      <c r="Y22" s="5"/>
      <c r="Z22" s="5"/>
    </row>
    <row r="23" spans="1:26" x14ac:dyDescent="0.25">
      <c r="A23" s="6"/>
      <c r="B23" s="6"/>
      <c r="C23" s="6"/>
      <c r="D23" s="6"/>
      <c r="E23" s="6"/>
      <c r="F23" s="6"/>
      <c r="G23" s="6"/>
      <c r="H23" s="6"/>
      <c r="I23" s="6"/>
      <c r="J23" s="6"/>
      <c r="K23" s="5"/>
      <c r="L23" s="5"/>
      <c r="M23" s="5"/>
      <c r="N23" s="5"/>
      <c r="O23" s="5"/>
      <c r="P23" s="5"/>
      <c r="Q23" s="5"/>
      <c r="R23" s="5"/>
      <c r="S23" s="5"/>
      <c r="T23" s="5"/>
      <c r="U23" s="5"/>
      <c r="V23" s="5"/>
      <c r="W23" s="5"/>
      <c r="X23" s="5"/>
      <c r="Y23" s="5"/>
      <c r="Z23" s="5"/>
    </row>
    <row r="24" spans="1:26" x14ac:dyDescent="0.25">
      <c r="A24" s="6"/>
      <c r="B24" s="6"/>
      <c r="C24" s="6"/>
      <c r="D24" s="6"/>
      <c r="E24" s="6"/>
      <c r="F24" s="6"/>
      <c r="G24" s="6"/>
      <c r="H24" s="6"/>
      <c r="I24" s="6"/>
      <c r="J24" s="6"/>
      <c r="K24" s="5"/>
      <c r="L24" s="5"/>
      <c r="M24" s="5"/>
      <c r="N24" s="5"/>
      <c r="O24" s="5"/>
      <c r="P24" s="5"/>
      <c r="Q24" s="5"/>
      <c r="R24" s="5"/>
      <c r="S24" s="5"/>
      <c r="T24" s="5"/>
      <c r="U24" s="5"/>
      <c r="V24" s="5"/>
      <c r="W24" s="5"/>
      <c r="X24" s="5"/>
      <c r="Y24" s="5"/>
      <c r="Z24" s="5"/>
    </row>
    <row r="25" spans="1:26" x14ac:dyDescent="0.25">
      <c r="A25" s="6"/>
      <c r="B25" s="6"/>
      <c r="C25" s="6"/>
      <c r="D25" s="6"/>
      <c r="E25" s="6"/>
      <c r="F25" s="6"/>
      <c r="G25" s="6"/>
      <c r="H25" s="6"/>
      <c r="I25" s="6"/>
      <c r="J25" s="6"/>
      <c r="K25" s="5"/>
      <c r="L25" s="5"/>
      <c r="M25" s="5"/>
      <c r="N25" s="5"/>
      <c r="O25" s="5"/>
      <c r="P25" s="5"/>
      <c r="Q25" s="5"/>
      <c r="R25" s="5"/>
      <c r="S25" s="5"/>
      <c r="T25" s="5"/>
      <c r="U25" s="5"/>
      <c r="V25" s="5"/>
      <c r="W25" s="5"/>
      <c r="X25" s="5"/>
      <c r="Y25" s="5"/>
      <c r="Z25" s="5"/>
    </row>
    <row r="26" spans="1:26" x14ac:dyDescent="0.25">
      <c r="A26" s="6"/>
      <c r="B26" s="6"/>
      <c r="C26" s="6"/>
      <c r="D26" s="6"/>
      <c r="E26" s="6"/>
      <c r="F26" s="6"/>
      <c r="G26" s="6"/>
      <c r="H26" s="6"/>
      <c r="I26" s="6"/>
      <c r="J26" s="6"/>
      <c r="K26" s="5"/>
      <c r="L26" s="5"/>
      <c r="M26" s="5"/>
      <c r="N26" s="5"/>
      <c r="O26" s="5"/>
      <c r="P26" s="5"/>
      <c r="Q26" s="5"/>
      <c r="R26" s="5"/>
      <c r="S26" s="5"/>
      <c r="T26" s="5"/>
      <c r="U26" s="5"/>
      <c r="V26" s="5"/>
      <c r="W26" s="5"/>
      <c r="X26" s="5"/>
      <c r="Y26" s="5"/>
      <c r="Z26" s="5"/>
    </row>
    <row r="27" spans="1:26" x14ac:dyDescent="0.25">
      <c r="A27" s="6"/>
      <c r="B27" s="6"/>
      <c r="C27" s="6"/>
      <c r="D27" s="6"/>
      <c r="E27" s="6"/>
      <c r="F27" s="6"/>
      <c r="G27" s="6"/>
      <c r="H27" s="6"/>
      <c r="I27" s="6"/>
      <c r="J27" s="6"/>
      <c r="K27" s="5"/>
      <c r="L27" s="5"/>
      <c r="M27" s="5"/>
      <c r="N27" s="5"/>
      <c r="O27" s="5"/>
      <c r="P27" s="5"/>
      <c r="Q27" s="5"/>
      <c r="R27" s="5"/>
      <c r="S27" s="5"/>
      <c r="T27" s="5"/>
      <c r="U27" s="5"/>
      <c r="V27" s="5"/>
      <c r="W27" s="5"/>
      <c r="X27" s="5"/>
      <c r="Y27" s="5"/>
      <c r="Z27" s="5"/>
    </row>
    <row r="28" spans="1:26" x14ac:dyDescent="0.25">
      <c r="A28" s="6"/>
      <c r="B28" s="6"/>
      <c r="C28" s="6"/>
      <c r="D28" s="6"/>
      <c r="E28" s="6"/>
      <c r="F28" s="6"/>
      <c r="G28" s="6"/>
      <c r="H28" s="6"/>
      <c r="I28" s="6"/>
      <c r="J28" s="6"/>
      <c r="K28" s="5"/>
      <c r="L28" s="5"/>
      <c r="M28" s="5"/>
      <c r="N28" s="5"/>
      <c r="O28" s="5"/>
      <c r="P28" s="5"/>
      <c r="Q28" s="5"/>
      <c r="R28" s="5"/>
      <c r="S28" s="5"/>
      <c r="T28" s="5"/>
      <c r="U28" s="5"/>
      <c r="V28" s="5"/>
      <c r="W28" s="5"/>
      <c r="X28" s="5"/>
      <c r="Y28" s="5"/>
      <c r="Z28" s="5"/>
    </row>
    <row r="29" spans="1:26" x14ac:dyDescent="0.25">
      <c r="A29" s="6"/>
      <c r="B29" s="6"/>
      <c r="C29" s="6"/>
      <c r="D29" s="6"/>
      <c r="E29" s="6"/>
      <c r="F29" s="6"/>
      <c r="G29" s="6"/>
      <c r="H29" s="6"/>
      <c r="I29" s="6"/>
      <c r="J29" s="6"/>
      <c r="K29" s="5"/>
      <c r="L29" s="5"/>
      <c r="M29" s="5"/>
      <c r="N29" s="5"/>
      <c r="O29" s="5"/>
      <c r="P29" s="5"/>
      <c r="Q29" s="5"/>
      <c r="R29" s="5"/>
      <c r="S29" s="5"/>
      <c r="T29" s="5"/>
      <c r="U29" s="5"/>
      <c r="V29" s="5"/>
      <c r="W29" s="5"/>
      <c r="X29" s="5"/>
      <c r="Y29" s="5"/>
      <c r="Z29" s="5"/>
    </row>
    <row r="30" spans="1:26" x14ac:dyDescent="0.25">
      <c r="A30" s="6"/>
      <c r="B30" s="6"/>
      <c r="C30" s="6"/>
      <c r="D30" s="6"/>
      <c r="E30" s="6"/>
      <c r="F30" s="6"/>
      <c r="G30" s="6"/>
      <c r="H30" s="6"/>
      <c r="I30" s="6"/>
      <c r="J30" s="6"/>
      <c r="K30" s="5"/>
      <c r="L30" s="5"/>
      <c r="M30" s="5"/>
      <c r="N30" s="5"/>
      <c r="O30" s="5"/>
      <c r="P30" s="5"/>
      <c r="Q30" s="5"/>
      <c r="R30" s="5"/>
      <c r="S30" s="5"/>
      <c r="T30" s="5"/>
      <c r="U30" s="5"/>
      <c r="V30" s="5"/>
      <c r="W30" s="5"/>
      <c r="X30" s="5"/>
      <c r="Y30" s="5"/>
      <c r="Z30" s="5"/>
    </row>
    <row r="31" spans="1:26" x14ac:dyDescent="0.25">
      <c r="A31" s="6"/>
      <c r="B31" s="6"/>
      <c r="C31" s="6"/>
      <c r="D31" s="6"/>
      <c r="E31" s="6"/>
      <c r="F31" s="6"/>
      <c r="G31" s="6"/>
      <c r="H31" s="6"/>
      <c r="I31" s="6"/>
      <c r="J31" s="6"/>
      <c r="K31" s="5"/>
      <c r="L31" s="5"/>
      <c r="M31" s="5"/>
      <c r="N31" s="5"/>
      <c r="O31" s="5"/>
      <c r="P31" s="5"/>
      <c r="Q31" s="5"/>
      <c r="R31" s="5"/>
      <c r="S31" s="5"/>
      <c r="T31" s="5"/>
      <c r="U31" s="5"/>
      <c r="V31" s="5"/>
      <c r="W31" s="5"/>
      <c r="X31" s="5"/>
      <c r="Y31" s="5"/>
      <c r="Z31" s="5"/>
    </row>
    <row r="32" spans="1:26" x14ac:dyDescent="0.25">
      <c r="A32" s="6"/>
      <c r="B32" s="6"/>
      <c r="C32" s="6"/>
      <c r="D32" s="6"/>
      <c r="E32" s="6"/>
      <c r="F32" s="6"/>
      <c r="G32" s="6"/>
      <c r="H32" s="6"/>
      <c r="I32" s="6"/>
      <c r="J32" s="6"/>
      <c r="K32" s="5"/>
      <c r="L32" s="5"/>
      <c r="M32" s="5"/>
      <c r="N32" s="5"/>
      <c r="O32" s="5"/>
      <c r="P32" s="5"/>
      <c r="Q32" s="5"/>
      <c r="R32" s="5"/>
      <c r="S32" s="5"/>
      <c r="T32" s="5"/>
      <c r="U32" s="5"/>
      <c r="V32" s="5"/>
      <c r="W32" s="5"/>
      <c r="X32" s="5"/>
      <c r="Y32" s="5"/>
      <c r="Z32" s="5"/>
    </row>
    <row r="33" spans="1:26" x14ac:dyDescent="0.25">
      <c r="A33" s="6"/>
      <c r="B33" s="6"/>
      <c r="C33" s="6"/>
      <c r="D33" s="6"/>
      <c r="E33" s="6"/>
      <c r="F33" s="6"/>
      <c r="G33" s="6"/>
      <c r="H33" s="6"/>
      <c r="I33" s="6"/>
      <c r="J33" s="6"/>
      <c r="K33" s="5"/>
      <c r="L33" s="5"/>
      <c r="M33" s="5"/>
      <c r="N33" s="5"/>
      <c r="O33" s="5"/>
      <c r="P33" s="5"/>
      <c r="Q33" s="5"/>
      <c r="R33" s="5"/>
      <c r="S33" s="5"/>
      <c r="T33" s="5"/>
      <c r="U33" s="5"/>
      <c r="V33" s="5"/>
      <c r="W33" s="5"/>
      <c r="X33" s="5"/>
      <c r="Y33" s="5"/>
      <c r="Z33" s="5"/>
    </row>
    <row r="34" spans="1:26" x14ac:dyDescent="0.25">
      <c r="A34" s="6"/>
      <c r="B34" s="6"/>
      <c r="C34" s="6"/>
      <c r="D34" s="6"/>
      <c r="E34" s="6"/>
      <c r="F34" s="6"/>
      <c r="G34" s="6"/>
      <c r="H34" s="6"/>
      <c r="I34" s="6"/>
      <c r="J34" s="6"/>
      <c r="K34" s="5"/>
      <c r="L34" s="5"/>
      <c r="M34" s="5"/>
      <c r="N34" s="5"/>
      <c r="O34" s="5"/>
      <c r="P34" s="5"/>
      <c r="Q34" s="5"/>
      <c r="R34" s="5"/>
      <c r="S34" s="5"/>
      <c r="T34" s="5"/>
      <c r="U34" s="5"/>
      <c r="V34" s="5"/>
      <c r="W34" s="5"/>
      <c r="X34" s="5"/>
      <c r="Y34" s="5"/>
      <c r="Z34" s="5"/>
    </row>
    <row r="35" spans="1:26" x14ac:dyDescent="0.25">
      <c r="A35" s="6"/>
      <c r="B35" s="6"/>
      <c r="C35" s="6"/>
      <c r="D35" s="6"/>
      <c r="E35" s="6"/>
      <c r="F35" s="6"/>
      <c r="G35" s="6"/>
      <c r="H35" s="6"/>
      <c r="I35" s="6"/>
      <c r="J35" s="6"/>
      <c r="K35" s="5"/>
      <c r="L35" s="5"/>
      <c r="M35" s="5"/>
      <c r="N35" s="5"/>
      <c r="O35" s="5"/>
      <c r="P35" s="5"/>
      <c r="Q35" s="5"/>
      <c r="R35" s="5"/>
      <c r="S35" s="5"/>
      <c r="T35" s="5"/>
      <c r="U35" s="5"/>
      <c r="V35" s="5"/>
      <c r="W35" s="5"/>
      <c r="X35" s="5"/>
      <c r="Y35" s="5"/>
      <c r="Z35" s="5"/>
    </row>
    <row r="36" spans="1:26" x14ac:dyDescent="0.25">
      <c r="A36" s="6"/>
      <c r="B36" s="6"/>
      <c r="C36" s="6"/>
      <c r="D36" s="6"/>
      <c r="E36" s="6"/>
      <c r="F36" s="6"/>
      <c r="G36" s="6"/>
      <c r="H36" s="6"/>
      <c r="I36" s="6"/>
      <c r="J36" s="6"/>
      <c r="K36" s="5"/>
      <c r="L36" s="5"/>
      <c r="M36" s="5"/>
      <c r="N36" s="5"/>
      <c r="O36" s="5"/>
      <c r="P36" s="5"/>
      <c r="Q36" s="5"/>
      <c r="R36" s="5"/>
      <c r="S36" s="5"/>
      <c r="T36" s="5"/>
      <c r="U36" s="5"/>
      <c r="V36" s="5"/>
      <c r="W36" s="5"/>
      <c r="X36" s="5"/>
      <c r="Y36" s="5"/>
      <c r="Z36" s="5"/>
    </row>
    <row r="37" spans="1:26" x14ac:dyDescent="0.25">
      <c r="A37" s="6"/>
      <c r="B37" s="6"/>
      <c r="C37" s="6"/>
      <c r="D37" s="6"/>
      <c r="E37" s="6"/>
      <c r="F37" s="6"/>
      <c r="G37" s="6"/>
      <c r="H37" s="6"/>
      <c r="I37" s="6"/>
      <c r="J37" s="6"/>
      <c r="K37" s="5"/>
      <c r="L37" s="5"/>
      <c r="M37" s="5"/>
      <c r="N37" s="5"/>
      <c r="O37" s="5"/>
      <c r="P37" s="5"/>
      <c r="Q37" s="5"/>
      <c r="R37" s="5"/>
      <c r="S37" s="5"/>
      <c r="T37" s="5"/>
      <c r="U37" s="5"/>
      <c r="V37" s="5"/>
      <c r="W37" s="5"/>
      <c r="X37" s="5"/>
      <c r="Y37" s="5"/>
      <c r="Z37" s="5"/>
    </row>
    <row r="38" spans="1:26" x14ac:dyDescent="0.25">
      <c r="A38" s="6"/>
      <c r="B38" s="6"/>
      <c r="C38" s="6"/>
      <c r="D38" s="6"/>
      <c r="E38" s="6"/>
      <c r="F38" s="6"/>
      <c r="G38" s="6"/>
      <c r="H38" s="6"/>
      <c r="I38" s="6"/>
      <c r="J38" s="6"/>
      <c r="K38" s="5"/>
      <c r="L38" s="5"/>
      <c r="M38" s="5"/>
      <c r="N38" s="5"/>
      <c r="O38" s="5"/>
      <c r="P38" s="5"/>
      <c r="Q38" s="5"/>
      <c r="R38" s="5"/>
      <c r="S38" s="5"/>
      <c r="T38" s="5"/>
      <c r="U38" s="5"/>
      <c r="V38" s="5"/>
      <c r="W38" s="5"/>
      <c r="X38" s="5"/>
      <c r="Y38" s="5"/>
      <c r="Z38" s="5"/>
    </row>
    <row r="39" spans="1:26" x14ac:dyDescent="0.25">
      <c r="A39" s="6"/>
      <c r="B39" s="6"/>
      <c r="C39" s="6"/>
      <c r="D39" s="6"/>
      <c r="E39" s="6"/>
      <c r="F39" s="6"/>
      <c r="G39" s="6"/>
      <c r="H39" s="6"/>
      <c r="I39" s="6"/>
      <c r="J39" s="6"/>
      <c r="K39" s="5"/>
      <c r="L39" s="5"/>
      <c r="M39" s="5"/>
      <c r="N39" s="5"/>
      <c r="O39" s="5"/>
      <c r="P39" s="5"/>
      <c r="Q39" s="5"/>
      <c r="R39" s="5"/>
      <c r="S39" s="5"/>
      <c r="T39" s="5"/>
      <c r="U39" s="5"/>
      <c r="V39" s="5"/>
      <c r="W39" s="5"/>
      <c r="X39" s="5"/>
      <c r="Y39" s="5"/>
      <c r="Z39" s="5"/>
    </row>
    <row r="40" spans="1:26" x14ac:dyDescent="0.25">
      <c r="A40" s="6"/>
      <c r="B40" s="6"/>
      <c r="C40" s="6"/>
      <c r="D40" s="6"/>
      <c r="E40" s="6"/>
      <c r="F40" s="6"/>
      <c r="G40" s="6"/>
      <c r="H40" s="6"/>
      <c r="I40" s="6"/>
      <c r="J40" s="6"/>
      <c r="K40" s="5"/>
      <c r="L40" s="5"/>
      <c r="M40" s="5"/>
      <c r="N40" s="5"/>
      <c r="O40" s="5"/>
      <c r="P40" s="5"/>
      <c r="Q40" s="5"/>
      <c r="R40" s="5"/>
      <c r="S40" s="5"/>
      <c r="T40" s="5"/>
      <c r="U40" s="5"/>
      <c r="V40" s="5"/>
      <c r="W40" s="5"/>
      <c r="X40" s="5"/>
      <c r="Y40" s="5"/>
      <c r="Z40" s="5"/>
    </row>
    <row r="41" spans="1:26" x14ac:dyDescent="0.25">
      <c r="A41" s="6"/>
      <c r="B41" s="6"/>
      <c r="C41" s="6"/>
      <c r="D41" s="6"/>
      <c r="E41" s="6"/>
      <c r="F41" s="6"/>
      <c r="G41" s="6"/>
      <c r="H41" s="6"/>
      <c r="I41" s="6"/>
      <c r="J41" s="6"/>
      <c r="K41" s="5"/>
      <c r="L41" s="5"/>
      <c r="M41" s="5"/>
      <c r="N41" s="5"/>
      <c r="O41" s="5"/>
      <c r="P41" s="5"/>
      <c r="Q41" s="5"/>
      <c r="R41" s="5"/>
      <c r="S41" s="5"/>
      <c r="T41" s="5"/>
      <c r="U41" s="5"/>
      <c r="V41" s="5"/>
      <c r="W41" s="5"/>
      <c r="X41" s="5"/>
      <c r="Y41" s="5"/>
      <c r="Z41" s="5"/>
    </row>
    <row r="42" spans="1:26" x14ac:dyDescent="0.25">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x14ac:dyDescent="0.25">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x14ac:dyDescent="0.25">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x14ac:dyDescent="0.25">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x14ac:dyDescent="0.25">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x14ac:dyDescent="0.25">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x14ac:dyDescent="0.25">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x14ac:dyDescent="0.25">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x14ac:dyDescent="0.25">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x14ac:dyDescent="0.25">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x14ac:dyDescent="0.25">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x14ac:dyDescent="0.25">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x14ac:dyDescent="0.25">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x14ac:dyDescent="0.25">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x14ac:dyDescent="0.25">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x14ac:dyDescent="0.25">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x14ac:dyDescent="0.25">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x14ac:dyDescent="0.25">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x14ac:dyDescent="0.25">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x14ac:dyDescent="0.25">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x14ac:dyDescent="0.25">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x14ac:dyDescent="0.25">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x14ac:dyDescent="0.25">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x14ac:dyDescent="0.25">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x14ac:dyDescent="0.25">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x14ac:dyDescent="0.25">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x14ac:dyDescent="0.25">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x14ac:dyDescent="0.25">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x14ac:dyDescent="0.25">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x14ac:dyDescent="0.25">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x14ac:dyDescent="0.25">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x14ac:dyDescent="0.25">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x14ac:dyDescent="0.25">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x14ac:dyDescent="0.25">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x14ac:dyDescent="0.25">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x14ac:dyDescent="0.25">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x14ac:dyDescent="0.25">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x14ac:dyDescent="0.25">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x14ac:dyDescent="0.25">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x14ac:dyDescent="0.25">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x14ac:dyDescent="0.25">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x14ac:dyDescent="0.25">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x14ac:dyDescent="0.25">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x14ac:dyDescent="0.25">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x14ac:dyDescent="0.25">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x14ac:dyDescent="0.25">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x14ac:dyDescent="0.25">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x14ac:dyDescent="0.25">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x14ac:dyDescent="0.25">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x14ac:dyDescent="0.25">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x14ac:dyDescent="0.25">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x14ac:dyDescent="0.25">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x14ac:dyDescent="0.25">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x14ac:dyDescent="0.25">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x14ac:dyDescent="0.25">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x14ac:dyDescent="0.25">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x14ac:dyDescent="0.25">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x14ac:dyDescent="0.25">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x14ac:dyDescent="0.25">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x14ac:dyDescent="0.25">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x14ac:dyDescent="0.25">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x14ac:dyDescent="0.25">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x14ac:dyDescent="0.25">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x14ac:dyDescent="0.25">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x14ac:dyDescent="0.25">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x14ac:dyDescent="0.25">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x14ac:dyDescent="0.25">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x14ac:dyDescent="0.25">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x14ac:dyDescent="0.25">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x14ac:dyDescent="0.25">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x14ac:dyDescent="0.25">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x14ac:dyDescent="0.25">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x14ac:dyDescent="0.25">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x14ac:dyDescent="0.25">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x14ac:dyDescent="0.25">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x14ac:dyDescent="0.25">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x14ac:dyDescent="0.25">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x14ac:dyDescent="0.25">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x14ac:dyDescent="0.25">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x14ac:dyDescent="0.25">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x14ac:dyDescent="0.25">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x14ac:dyDescent="0.25">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x14ac:dyDescent="0.25">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x14ac:dyDescent="0.25">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x14ac:dyDescent="0.25">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x14ac:dyDescent="0.25">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x14ac:dyDescent="0.25">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x14ac:dyDescent="0.25">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x14ac:dyDescent="0.25">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x14ac:dyDescent="0.25">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x14ac:dyDescent="0.25">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x14ac:dyDescent="0.25">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x14ac:dyDescent="0.25">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x14ac:dyDescent="0.25">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x14ac:dyDescent="0.25">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x14ac:dyDescent="0.25">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x14ac:dyDescent="0.25">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x14ac:dyDescent="0.25">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x14ac:dyDescent="0.25">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x14ac:dyDescent="0.25">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x14ac:dyDescent="0.25">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x14ac:dyDescent="0.25">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x14ac:dyDescent="0.25">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x14ac:dyDescent="0.25">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x14ac:dyDescent="0.25">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x14ac:dyDescent="0.25">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x14ac:dyDescent="0.25">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x14ac:dyDescent="0.25">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x14ac:dyDescent="0.25">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x14ac:dyDescent="0.25">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x14ac:dyDescent="0.25">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x14ac:dyDescent="0.25">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x14ac:dyDescent="0.25">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x14ac:dyDescent="0.25">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x14ac:dyDescent="0.25">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x14ac:dyDescent="0.25">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x14ac:dyDescent="0.25">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x14ac:dyDescent="0.25">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x14ac:dyDescent="0.25">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x14ac:dyDescent="0.25">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x14ac:dyDescent="0.25">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x14ac:dyDescent="0.25">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x14ac:dyDescent="0.25">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x14ac:dyDescent="0.25">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x14ac:dyDescent="0.25">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x14ac:dyDescent="0.25">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x14ac:dyDescent="0.25">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x14ac:dyDescent="0.25">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x14ac:dyDescent="0.25">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x14ac:dyDescent="0.25">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x14ac:dyDescent="0.25">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x14ac:dyDescent="0.25">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x14ac:dyDescent="0.25">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x14ac:dyDescent="0.25">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x14ac:dyDescent="0.25">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x14ac:dyDescent="0.25">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x14ac:dyDescent="0.25">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x14ac:dyDescent="0.25">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x14ac:dyDescent="0.25">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x14ac:dyDescent="0.25">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x14ac:dyDescent="0.25">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x14ac:dyDescent="0.25">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x14ac:dyDescent="0.25">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x14ac:dyDescent="0.25">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x14ac:dyDescent="0.25">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x14ac:dyDescent="0.25">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x14ac:dyDescent="0.25">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x14ac:dyDescent="0.25">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x14ac:dyDescent="0.25">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x14ac:dyDescent="0.25">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x14ac:dyDescent="0.25">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x14ac:dyDescent="0.25">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x14ac:dyDescent="0.25">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x14ac:dyDescent="0.25">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x14ac:dyDescent="0.25">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x14ac:dyDescent="0.25">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x14ac:dyDescent="0.25">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x14ac:dyDescent="0.25">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x14ac:dyDescent="0.25">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x14ac:dyDescent="0.25">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x14ac:dyDescent="0.25">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x14ac:dyDescent="0.25">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x14ac:dyDescent="0.25">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x14ac:dyDescent="0.25">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x14ac:dyDescent="0.25">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x14ac:dyDescent="0.25">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x14ac:dyDescent="0.25">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x14ac:dyDescent="0.25">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x14ac:dyDescent="0.25">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x14ac:dyDescent="0.25">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x14ac:dyDescent="0.25">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x14ac:dyDescent="0.25">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x14ac:dyDescent="0.25">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x14ac:dyDescent="0.25">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x14ac:dyDescent="0.25">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x14ac:dyDescent="0.25">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x14ac:dyDescent="0.25">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x14ac:dyDescent="0.25">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x14ac:dyDescent="0.25">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x14ac:dyDescent="0.25">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x14ac:dyDescent="0.25">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x14ac:dyDescent="0.25">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x14ac:dyDescent="0.25">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x14ac:dyDescent="0.25">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x14ac:dyDescent="0.25">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x14ac:dyDescent="0.25">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x14ac:dyDescent="0.25">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x14ac:dyDescent="0.25">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x14ac:dyDescent="0.25">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x14ac:dyDescent="0.25">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x14ac:dyDescent="0.25">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x14ac:dyDescent="0.25">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x14ac:dyDescent="0.25">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x14ac:dyDescent="0.25">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x14ac:dyDescent="0.25">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x14ac:dyDescent="0.25">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x14ac:dyDescent="0.25">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x14ac:dyDescent="0.25">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x14ac:dyDescent="0.25">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x14ac:dyDescent="0.25">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x14ac:dyDescent="0.25">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x14ac:dyDescent="0.25">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x14ac:dyDescent="0.25">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x14ac:dyDescent="0.25">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x14ac:dyDescent="0.25">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x14ac:dyDescent="0.25">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x14ac:dyDescent="0.25">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x14ac:dyDescent="0.25">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x14ac:dyDescent="0.25">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x14ac:dyDescent="0.25">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x14ac:dyDescent="0.25">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x14ac:dyDescent="0.25">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x14ac:dyDescent="0.25">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x14ac:dyDescent="0.25">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x14ac:dyDescent="0.25">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x14ac:dyDescent="0.25">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x14ac:dyDescent="0.25">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x14ac:dyDescent="0.25">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x14ac:dyDescent="0.25">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x14ac:dyDescent="0.25">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x14ac:dyDescent="0.25">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x14ac:dyDescent="0.25">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x14ac:dyDescent="0.25">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x14ac:dyDescent="0.25">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x14ac:dyDescent="0.25">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x14ac:dyDescent="0.25">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x14ac:dyDescent="0.25">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x14ac:dyDescent="0.25">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x14ac:dyDescent="0.25">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x14ac:dyDescent="0.25">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x14ac:dyDescent="0.25">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x14ac:dyDescent="0.25">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x14ac:dyDescent="0.25">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x14ac:dyDescent="0.25">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x14ac:dyDescent="0.25">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x14ac:dyDescent="0.25">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x14ac:dyDescent="0.25">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x14ac:dyDescent="0.25">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x14ac:dyDescent="0.25">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x14ac:dyDescent="0.25">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x14ac:dyDescent="0.25">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x14ac:dyDescent="0.25">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x14ac:dyDescent="0.25">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x14ac:dyDescent="0.25">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x14ac:dyDescent="0.25">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x14ac:dyDescent="0.25">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x14ac:dyDescent="0.25">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x14ac:dyDescent="0.25">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x14ac:dyDescent="0.25">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x14ac:dyDescent="0.25">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x14ac:dyDescent="0.25">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x14ac:dyDescent="0.25">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x14ac:dyDescent="0.25">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x14ac:dyDescent="0.25">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x14ac:dyDescent="0.25">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x14ac:dyDescent="0.25">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x14ac:dyDescent="0.25">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x14ac:dyDescent="0.25">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x14ac:dyDescent="0.25">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x14ac:dyDescent="0.25">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x14ac:dyDescent="0.25">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x14ac:dyDescent="0.25">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x14ac:dyDescent="0.25">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x14ac:dyDescent="0.25">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x14ac:dyDescent="0.25">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x14ac:dyDescent="0.25">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x14ac:dyDescent="0.25">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x14ac:dyDescent="0.25">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x14ac:dyDescent="0.25">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x14ac:dyDescent="0.25">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x14ac:dyDescent="0.25">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x14ac:dyDescent="0.25">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x14ac:dyDescent="0.25">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x14ac:dyDescent="0.25">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x14ac:dyDescent="0.25">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x14ac:dyDescent="0.25">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x14ac:dyDescent="0.25">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x14ac:dyDescent="0.25">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x14ac:dyDescent="0.25">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x14ac:dyDescent="0.25">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x14ac:dyDescent="0.25">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x14ac:dyDescent="0.25">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x14ac:dyDescent="0.25">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x14ac:dyDescent="0.25">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x14ac:dyDescent="0.25">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x14ac:dyDescent="0.25">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x14ac:dyDescent="0.25">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x14ac:dyDescent="0.25">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x14ac:dyDescent="0.25">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x14ac:dyDescent="0.25">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x14ac:dyDescent="0.25">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x14ac:dyDescent="0.25">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x14ac:dyDescent="0.25">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x14ac:dyDescent="0.25">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x14ac:dyDescent="0.25">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x14ac:dyDescent="0.25">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x14ac:dyDescent="0.25">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x14ac:dyDescent="0.25">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x14ac:dyDescent="0.25">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x14ac:dyDescent="0.25">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x14ac:dyDescent="0.25">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x14ac:dyDescent="0.25">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x14ac:dyDescent="0.25">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x14ac:dyDescent="0.25">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x14ac:dyDescent="0.25">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x14ac:dyDescent="0.25">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x14ac:dyDescent="0.25">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x14ac:dyDescent="0.25">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x14ac:dyDescent="0.25">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x14ac:dyDescent="0.25">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x14ac:dyDescent="0.25">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x14ac:dyDescent="0.25">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x14ac:dyDescent="0.25">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x14ac:dyDescent="0.25">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x14ac:dyDescent="0.25">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x14ac:dyDescent="0.25">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x14ac:dyDescent="0.25">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x14ac:dyDescent="0.25">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x14ac:dyDescent="0.25">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x14ac:dyDescent="0.25">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x14ac:dyDescent="0.25">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x14ac:dyDescent="0.25">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x14ac:dyDescent="0.25">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x14ac:dyDescent="0.25">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x14ac:dyDescent="0.25">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x14ac:dyDescent="0.25">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x14ac:dyDescent="0.25">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x14ac:dyDescent="0.25">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x14ac:dyDescent="0.25">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x14ac:dyDescent="0.25">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x14ac:dyDescent="0.25">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x14ac:dyDescent="0.25">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x14ac:dyDescent="0.25">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x14ac:dyDescent="0.25">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x14ac:dyDescent="0.25">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x14ac:dyDescent="0.25">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x14ac:dyDescent="0.25">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x14ac:dyDescent="0.25">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x14ac:dyDescent="0.25">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x14ac:dyDescent="0.25">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x14ac:dyDescent="0.25">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x14ac:dyDescent="0.25">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x14ac:dyDescent="0.25">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x14ac:dyDescent="0.25">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x14ac:dyDescent="0.25">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x14ac:dyDescent="0.25">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x14ac:dyDescent="0.25">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x14ac:dyDescent="0.25">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x14ac:dyDescent="0.25">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x14ac:dyDescent="0.25">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x14ac:dyDescent="0.25">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x14ac:dyDescent="0.25">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x14ac:dyDescent="0.25">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x14ac:dyDescent="0.25">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x14ac:dyDescent="0.25">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x14ac:dyDescent="0.25">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x14ac:dyDescent="0.25">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x14ac:dyDescent="0.25">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x14ac:dyDescent="0.25">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x14ac:dyDescent="0.25">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x14ac:dyDescent="0.25">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x14ac:dyDescent="0.25">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x14ac:dyDescent="0.25">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x14ac:dyDescent="0.25">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x14ac:dyDescent="0.25">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x14ac:dyDescent="0.25">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x14ac:dyDescent="0.25">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x14ac:dyDescent="0.25">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x14ac:dyDescent="0.25">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x14ac:dyDescent="0.25">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x14ac:dyDescent="0.25">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x14ac:dyDescent="0.25">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x14ac:dyDescent="0.25">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x14ac:dyDescent="0.25">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x14ac:dyDescent="0.25">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x14ac:dyDescent="0.25">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x14ac:dyDescent="0.25">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x14ac:dyDescent="0.25">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x14ac:dyDescent="0.25">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x14ac:dyDescent="0.25">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x14ac:dyDescent="0.25">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x14ac:dyDescent="0.25">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x14ac:dyDescent="0.25">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x14ac:dyDescent="0.25">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x14ac:dyDescent="0.25">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x14ac:dyDescent="0.25">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x14ac:dyDescent="0.25">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x14ac:dyDescent="0.25">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x14ac:dyDescent="0.25">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x14ac:dyDescent="0.25">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x14ac:dyDescent="0.25">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x14ac:dyDescent="0.25">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x14ac:dyDescent="0.25">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x14ac:dyDescent="0.25">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x14ac:dyDescent="0.25">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x14ac:dyDescent="0.25">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x14ac:dyDescent="0.25">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x14ac:dyDescent="0.25">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x14ac:dyDescent="0.25">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x14ac:dyDescent="0.25">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x14ac:dyDescent="0.25">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x14ac:dyDescent="0.25">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x14ac:dyDescent="0.25">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x14ac:dyDescent="0.25">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x14ac:dyDescent="0.25">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x14ac:dyDescent="0.25">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x14ac:dyDescent="0.25">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x14ac:dyDescent="0.25">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x14ac:dyDescent="0.25">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x14ac:dyDescent="0.25">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x14ac:dyDescent="0.25">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x14ac:dyDescent="0.25">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x14ac:dyDescent="0.25">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x14ac:dyDescent="0.25">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x14ac:dyDescent="0.25">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x14ac:dyDescent="0.25">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x14ac:dyDescent="0.25">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x14ac:dyDescent="0.25">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x14ac:dyDescent="0.25">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x14ac:dyDescent="0.25">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x14ac:dyDescent="0.25">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x14ac:dyDescent="0.25">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x14ac:dyDescent="0.25">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x14ac:dyDescent="0.25">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x14ac:dyDescent="0.25">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x14ac:dyDescent="0.25">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x14ac:dyDescent="0.25">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x14ac:dyDescent="0.25">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x14ac:dyDescent="0.25">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x14ac:dyDescent="0.25">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x14ac:dyDescent="0.25">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x14ac:dyDescent="0.25">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x14ac:dyDescent="0.25">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x14ac:dyDescent="0.25">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x14ac:dyDescent="0.25">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x14ac:dyDescent="0.25">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x14ac:dyDescent="0.25">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x14ac:dyDescent="0.25">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x14ac:dyDescent="0.25">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x14ac:dyDescent="0.25">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x14ac:dyDescent="0.25">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x14ac:dyDescent="0.25">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x14ac:dyDescent="0.25">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x14ac:dyDescent="0.25">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x14ac:dyDescent="0.25">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x14ac:dyDescent="0.25">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x14ac:dyDescent="0.25">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x14ac:dyDescent="0.25">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x14ac:dyDescent="0.25">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x14ac:dyDescent="0.25">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x14ac:dyDescent="0.25">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x14ac:dyDescent="0.25">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x14ac:dyDescent="0.25">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x14ac:dyDescent="0.25">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x14ac:dyDescent="0.25">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x14ac:dyDescent="0.25">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x14ac:dyDescent="0.25">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x14ac:dyDescent="0.25">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x14ac:dyDescent="0.25">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x14ac:dyDescent="0.25">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x14ac:dyDescent="0.25">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x14ac:dyDescent="0.25">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x14ac:dyDescent="0.25">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x14ac:dyDescent="0.25">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x14ac:dyDescent="0.25">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x14ac:dyDescent="0.25">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x14ac:dyDescent="0.25">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x14ac:dyDescent="0.25">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x14ac:dyDescent="0.25">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x14ac:dyDescent="0.25">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x14ac:dyDescent="0.25">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x14ac:dyDescent="0.25">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x14ac:dyDescent="0.25">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x14ac:dyDescent="0.25">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x14ac:dyDescent="0.25">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x14ac:dyDescent="0.25">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x14ac:dyDescent="0.25">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x14ac:dyDescent="0.25">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x14ac:dyDescent="0.25">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x14ac:dyDescent="0.25">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x14ac:dyDescent="0.25">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x14ac:dyDescent="0.25">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x14ac:dyDescent="0.25">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x14ac:dyDescent="0.25">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x14ac:dyDescent="0.25">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x14ac:dyDescent="0.25">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x14ac:dyDescent="0.25">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x14ac:dyDescent="0.25">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x14ac:dyDescent="0.25">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x14ac:dyDescent="0.25">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x14ac:dyDescent="0.25">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x14ac:dyDescent="0.25">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x14ac:dyDescent="0.25">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x14ac:dyDescent="0.25">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x14ac:dyDescent="0.25">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x14ac:dyDescent="0.25">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x14ac:dyDescent="0.25">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x14ac:dyDescent="0.25">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x14ac:dyDescent="0.25">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x14ac:dyDescent="0.25">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x14ac:dyDescent="0.25">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x14ac:dyDescent="0.25">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x14ac:dyDescent="0.25">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x14ac:dyDescent="0.25">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x14ac:dyDescent="0.25">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x14ac:dyDescent="0.25">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x14ac:dyDescent="0.25">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x14ac:dyDescent="0.25">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x14ac:dyDescent="0.25">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x14ac:dyDescent="0.25">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x14ac:dyDescent="0.25">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x14ac:dyDescent="0.25">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x14ac:dyDescent="0.25">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x14ac:dyDescent="0.25">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x14ac:dyDescent="0.25">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x14ac:dyDescent="0.25">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x14ac:dyDescent="0.25">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x14ac:dyDescent="0.25">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x14ac:dyDescent="0.25">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x14ac:dyDescent="0.25">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x14ac:dyDescent="0.25">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x14ac:dyDescent="0.25">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x14ac:dyDescent="0.25">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x14ac:dyDescent="0.25">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x14ac:dyDescent="0.25">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x14ac:dyDescent="0.25">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x14ac:dyDescent="0.25">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x14ac:dyDescent="0.25">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x14ac:dyDescent="0.25">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x14ac:dyDescent="0.25">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x14ac:dyDescent="0.25">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x14ac:dyDescent="0.25">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x14ac:dyDescent="0.25">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x14ac:dyDescent="0.25">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x14ac:dyDescent="0.25">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x14ac:dyDescent="0.25">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x14ac:dyDescent="0.25">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x14ac:dyDescent="0.25">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x14ac:dyDescent="0.25">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x14ac:dyDescent="0.25">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x14ac:dyDescent="0.25">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x14ac:dyDescent="0.25">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x14ac:dyDescent="0.25">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x14ac:dyDescent="0.25">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x14ac:dyDescent="0.25">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x14ac:dyDescent="0.25">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x14ac:dyDescent="0.25">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x14ac:dyDescent="0.25">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x14ac:dyDescent="0.25">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x14ac:dyDescent="0.25">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x14ac:dyDescent="0.25">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x14ac:dyDescent="0.25">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x14ac:dyDescent="0.25">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x14ac:dyDescent="0.25">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x14ac:dyDescent="0.25">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x14ac:dyDescent="0.25">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x14ac:dyDescent="0.25">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x14ac:dyDescent="0.25">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x14ac:dyDescent="0.25">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x14ac:dyDescent="0.25">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x14ac:dyDescent="0.25">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x14ac:dyDescent="0.25">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x14ac:dyDescent="0.25">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x14ac:dyDescent="0.25">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x14ac:dyDescent="0.25">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x14ac:dyDescent="0.25">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x14ac:dyDescent="0.25">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x14ac:dyDescent="0.25">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x14ac:dyDescent="0.25">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x14ac:dyDescent="0.25">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x14ac:dyDescent="0.25">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x14ac:dyDescent="0.25">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x14ac:dyDescent="0.25">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x14ac:dyDescent="0.25">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x14ac:dyDescent="0.25">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x14ac:dyDescent="0.25">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x14ac:dyDescent="0.25">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x14ac:dyDescent="0.25">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x14ac:dyDescent="0.25">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x14ac:dyDescent="0.25">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x14ac:dyDescent="0.25">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x14ac:dyDescent="0.25">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x14ac:dyDescent="0.25">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x14ac:dyDescent="0.25">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x14ac:dyDescent="0.25">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x14ac:dyDescent="0.25">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x14ac:dyDescent="0.25">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x14ac:dyDescent="0.25">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x14ac:dyDescent="0.25">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x14ac:dyDescent="0.25">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x14ac:dyDescent="0.25">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x14ac:dyDescent="0.25">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x14ac:dyDescent="0.25">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x14ac:dyDescent="0.25">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x14ac:dyDescent="0.25">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x14ac:dyDescent="0.25">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x14ac:dyDescent="0.25">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x14ac:dyDescent="0.25">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x14ac:dyDescent="0.25">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x14ac:dyDescent="0.25">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x14ac:dyDescent="0.25">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x14ac:dyDescent="0.25">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x14ac:dyDescent="0.25">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x14ac:dyDescent="0.25">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x14ac:dyDescent="0.25">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x14ac:dyDescent="0.25">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x14ac:dyDescent="0.25">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x14ac:dyDescent="0.25">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x14ac:dyDescent="0.25">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x14ac:dyDescent="0.25">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x14ac:dyDescent="0.25">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x14ac:dyDescent="0.25">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x14ac:dyDescent="0.25">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x14ac:dyDescent="0.25">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x14ac:dyDescent="0.25">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x14ac:dyDescent="0.25">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x14ac:dyDescent="0.25">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x14ac:dyDescent="0.25">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x14ac:dyDescent="0.25">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x14ac:dyDescent="0.25">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x14ac:dyDescent="0.25">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x14ac:dyDescent="0.25">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x14ac:dyDescent="0.25">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x14ac:dyDescent="0.25">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x14ac:dyDescent="0.25">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x14ac:dyDescent="0.25">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x14ac:dyDescent="0.25">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x14ac:dyDescent="0.25">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x14ac:dyDescent="0.25">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x14ac:dyDescent="0.25">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x14ac:dyDescent="0.25">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x14ac:dyDescent="0.25">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x14ac:dyDescent="0.25">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x14ac:dyDescent="0.25">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x14ac:dyDescent="0.25">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x14ac:dyDescent="0.25">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x14ac:dyDescent="0.25">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x14ac:dyDescent="0.25">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x14ac:dyDescent="0.25">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x14ac:dyDescent="0.25">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x14ac:dyDescent="0.25">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x14ac:dyDescent="0.25">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x14ac:dyDescent="0.25">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x14ac:dyDescent="0.25">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x14ac:dyDescent="0.25">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x14ac:dyDescent="0.25">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x14ac:dyDescent="0.25">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x14ac:dyDescent="0.25">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x14ac:dyDescent="0.25">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x14ac:dyDescent="0.25">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x14ac:dyDescent="0.25">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x14ac:dyDescent="0.25">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x14ac:dyDescent="0.25">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x14ac:dyDescent="0.25">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x14ac:dyDescent="0.25">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x14ac:dyDescent="0.25">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x14ac:dyDescent="0.25">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x14ac:dyDescent="0.25">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x14ac:dyDescent="0.25">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x14ac:dyDescent="0.25">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x14ac:dyDescent="0.25">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x14ac:dyDescent="0.25">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x14ac:dyDescent="0.25">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x14ac:dyDescent="0.25">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x14ac:dyDescent="0.25">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x14ac:dyDescent="0.25">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x14ac:dyDescent="0.25">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x14ac:dyDescent="0.25">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x14ac:dyDescent="0.25">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x14ac:dyDescent="0.25">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x14ac:dyDescent="0.25">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x14ac:dyDescent="0.25">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x14ac:dyDescent="0.25">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x14ac:dyDescent="0.25">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x14ac:dyDescent="0.25">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x14ac:dyDescent="0.25">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x14ac:dyDescent="0.25">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x14ac:dyDescent="0.25">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x14ac:dyDescent="0.25">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x14ac:dyDescent="0.25">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x14ac:dyDescent="0.25">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x14ac:dyDescent="0.25">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x14ac:dyDescent="0.25">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x14ac:dyDescent="0.25">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x14ac:dyDescent="0.25">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x14ac:dyDescent="0.25">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x14ac:dyDescent="0.25">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x14ac:dyDescent="0.25">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x14ac:dyDescent="0.25">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x14ac:dyDescent="0.25">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x14ac:dyDescent="0.25">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x14ac:dyDescent="0.25">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x14ac:dyDescent="0.25">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x14ac:dyDescent="0.25">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x14ac:dyDescent="0.25">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x14ac:dyDescent="0.25">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x14ac:dyDescent="0.25">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x14ac:dyDescent="0.25">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x14ac:dyDescent="0.25">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x14ac:dyDescent="0.25">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x14ac:dyDescent="0.25">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x14ac:dyDescent="0.25">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x14ac:dyDescent="0.25">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x14ac:dyDescent="0.25">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x14ac:dyDescent="0.25">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x14ac:dyDescent="0.25">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x14ac:dyDescent="0.25">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x14ac:dyDescent="0.25">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x14ac:dyDescent="0.25">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x14ac:dyDescent="0.25">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x14ac:dyDescent="0.25">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x14ac:dyDescent="0.25">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x14ac:dyDescent="0.25">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x14ac:dyDescent="0.25">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x14ac:dyDescent="0.25">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x14ac:dyDescent="0.25">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x14ac:dyDescent="0.25">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x14ac:dyDescent="0.25">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x14ac:dyDescent="0.25">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x14ac:dyDescent="0.25">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x14ac:dyDescent="0.25">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x14ac:dyDescent="0.25">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x14ac:dyDescent="0.25">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x14ac:dyDescent="0.25">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x14ac:dyDescent="0.25">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x14ac:dyDescent="0.25">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x14ac:dyDescent="0.25">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x14ac:dyDescent="0.25">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x14ac:dyDescent="0.25">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x14ac:dyDescent="0.25">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x14ac:dyDescent="0.25">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x14ac:dyDescent="0.25">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x14ac:dyDescent="0.25">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x14ac:dyDescent="0.25">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x14ac:dyDescent="0.25">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x14ac:dyDescent="0.25">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x14ac:dyDescent="0.25">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x14ac:dyDescent="0.25">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x14ac:dyDescent="0.25">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x14ac:dyDescent="0.25">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x14ac:dyDescent="0.25">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x14ac:dyDescent="0.25">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x14ac:dyDescent="0.25">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x14ac:dyDescent="0.25">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x14ac:dyDescent="0.25">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x14ac:dyDescent="0.25">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x14ac:dyDescent="0.25">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x14ac:dyDescent="0.25">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x14ac:dyDescent="0.25">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x14ac:dyDescent="0.25">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x14ac:dyDescent="0.25">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x14ac:dyDescent="0.25">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x14ac:dyDescent="0.25">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x14ac:dyDescent="0.25">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x14ac:dyDescent="0.25">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x14ac:dyDescent="0.25">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x14ac:dyDescent="0.25">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x14ac:dyDescent="0.25">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x14ac:dyDescent="0.25">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x14ac:dyDescent="0.25">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x14ac:dyDescent="0.25">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x14ac:dyDescent="0.25">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x14ac:dyDescent="0.25">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x14ac:dyDescent="0.25">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x14ac:dyDescent="0.25">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x14ac:dyDescent="0.25">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x14ac:dyDescent="0.25">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x14ac:dyDescent="0.25">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x14ac:dyDescent="0.25">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x14ac:dyDescent="0.25">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x14ac:dyDescent="0.25">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x14ac:dyDescent="0.25">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x14ac:dyDescent="0.25">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x14ac:dyDescent="0.25">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x14ac:dyDescent="0.25">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x14ac:dyDescent="0.25">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x14ac:dyDescent="0.25">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x14ac:dyDescent="0.25">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x14ac:dyDescent="0.25">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x14ac:dyDescent="0.25">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x14ac:dyDescent="0.25">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x14ac:dyDescent="0.25">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x14ac:dyDescent="0.25">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x14ac:dyDescent="0.25">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x14ac:dyDescent="0.25">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x14ac:dyDescent="0.25">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x14ac:dyDescent="0.25">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x14ac:dyDescent="0.25">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x14ac:dyDescent="0.25">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x14ac:dyDescent="0.25">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x14ac:dyDescent="0.25">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x14ac:dyDescent="0.25">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x14ac:dyDescent="0.25">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x14ac:dyDescent="0.25">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x14ac:dyDescent="0.25">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x14ac:dyDescent="0.25">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x14ac:dyDescent="0.25">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x14ac:dyDescent="0.25">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x14ac:dyDescent="0.25">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x14ac:dyDescent="0.25">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x14ac:dyDescent="0.25">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x14ac:dyDescent="0.25">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x14ac:dyDescent="0.25">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x14ac:dyDescent="0.25">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x14ac:dyDescent="0.25">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x14ac:dyDescent="0.25">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x14ac:dyDescent="0.25">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x14ac:dyDescent="0.25">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x14ac:dyDescent="0.25">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x14ac:dyDescent="0.25">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x14ac:dyDescent="0.25">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x14ac:dyDescent="0.25">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x14ac:dyDescent="0.25">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x14ac:dyDescent="0.25">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x14ac:dyDescent="0.25">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x14ac:dyDescent="0.25">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x14ac:dyDescent="0.25">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x14ac:dyDescent="0.25">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x14ac:dyDescent="0.25">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x14ac:dyDescent="0.25">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x14ac:dyDescent="0.25">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x14ac:dyDescent="0.25">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x14ac:dyDescent="0.25">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x14ac:dyDescent="0.25">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x14ac:dyDescent="0.25">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x14ac:dyDescent="0.25">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x14ac:dyDescent="0.25">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x14ac:dyDescent="0.25">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x14ac:dyDescent="0.25">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x14ac:dyDescent="0.25">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x14ac:dyDescent="0.25">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x14ac:dyDescent="0.25">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x14ac:dyDescent="0.25">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x14ac:dyDescent="0.25">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x14ac:dyDescent="0.25">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x14ac:dyDescent="0.25">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x14ac:dyDescent="0.25">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x14ac:dyDescent="0.25">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x14ac:dyDescent="0.25">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x14ac:dyDescent="0.25">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x14ac:dyDescent="0.25">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x14ac:dyDescent="0.25">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x14ac:dyDescent="0.25">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x14ac:dyDescent="0.25">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x14ac:dyDescent="0.25">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x14ac:dyDescent="0.25">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x14ac:dyDescent="0.25">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x14ac:dyDescent="0.25">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x14ac:dyDescent="0.25">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x14ac:dyDescent="0.25">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x14ac:dyDescent="0.25">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x14ac:dyDescent="0.25">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x14ac:dyDescent="0.25">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x14ac:dyDescent="0.25">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x14ac:dyDescent="0.25">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x14ac:dyDescent="0.25">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x14ac:dyDescent="0.25">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x14ac:dyDescent="0.25">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x14ac:dyDescent="0.25">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x14ac:dyDescent="0.25">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x14ac:dyDescent="0.25">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x14ac:dyDescent="0.25">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x14ac:dyDescent="0.25">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x14ac:dyDescent="0.25">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x14ac:dyDescent="0.25">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x14ac:dyDescent="0.25">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x14ac:dyDescent="0.25">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x14ac:dyDescent="0.25">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x14ac:dyDescent="0.25">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x14ac:dyDescent="0.25">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x14ac:dyDescent="0.25">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x14ac:dyDescent="0.25">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x14ac:dyDescent="0.25">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x14ac:dyDescent="0.25">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x14ac:dyDescent="0.25">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x14ac:dyDescent="0.25">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x14ac:dyDescent="0.25">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x14ac:dyDescent="0.25">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x14ac:dyDescent="0.25">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x14ac:dyDescent="0.25">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x14ac:dyDescent="0.25">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x14ac:dyDescent="0.25">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x14ac:dyDescent="0.25">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x14ac:dyDescent="0.25">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x14ac:dyDescent="0.25">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x14ac:dyDescent="0.25">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x14ac:dyDescent="0.25">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x14ac:dyDescent="0.25">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x14ac:dyDescent="0.25">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x14ac:dyDescent="0.25">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x14ac:dyDescent="0.25">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x14ac:dyDescent="0.25">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x14ac:dyDescent="0.25">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x14ac:dyDescent="0.25">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x14ac:dyDescent="0.25">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x14ac:dyDescent="0.25">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x14ac:dyDescent="0.25">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x14ac:dyDescent="0.25">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x14ac:dyDescent="0.25">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x14ac:dyDescent="0.25">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x14ac:dyDescent="0.25">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x14ac:dyDescent="0.25">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x14ac:dyDescent="0.25">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x14ac:dyDescent="0.25">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x14ac:dyDescent="0.25">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x14ac:dyDescent="0.25">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x14ac:dyDescent="0.25">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x14ac:dyDescent="0.25">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x14ac:dyDescent="0.25">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x14ac:dyDescent="0.25">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x14ac:dyDescent="0.25">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x14ac:dyDescent="0.25">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x14ac:dyDescent="0.25">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x14ac:dyDescent="0.25">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x14ac:dyDescent="0.25">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x14ac:dyDescent="0.25">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x14ac:dyDescent="0.25">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x14ac:dyDescent="0.25">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x14ac:dyDescent="0.25">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x14ac:dyDescent="0.25">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x14ac:dyDescent="0.25">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x14ac:dyDescent="0.25">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x14ac:dyDescent="0.25">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x14ac:dyDescent="0.25">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x14ac:dyDescent="0.25">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x14ac:dyDescent="0.25">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x14ac:dyDescent="0.25">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x14ac:dyDescent="0.25">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x14ac:dyDescent="0.25">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x14ac:dyDescent="0.25">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x14ac:dyDescent="0.25">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x14ac:dyDescent="0.25">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x14ac:dyDescent="0.25">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x14ac:dyDescent="0.25">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x14ac:dyDescent="0.25">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x14ac:dyDescent="0.25">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x14ac:dyDescent="0.25">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x14ac:dyDescent="0.25">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x14ac:dyDescent="0.25">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x14ac:dyDescent="0.25">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x14ac:dyDescent="0.25">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x14ac:dyDescent="0.25">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x14ac:dyDescent="0.25">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x14ac:dyDescent="0.25">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x14ac:dyDescent="0.25">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x14ac:dyDescent="0.25">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x14ac:dyDescent="0.25">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x14ac:dyDescent="0.25">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x14ac:dyDescent="0.25">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x14ac:dyDescent="0.25">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x14ac:dyDescent="0.25">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x14ac:dyDescent="0.25">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x14ac:dyDescent="0.25">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x14ac:dyDescent="0.25">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x14ac:dyDescent="0.25">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x14ac:dyDescent="0.25">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x14ac:dyDescent="0.25">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x14ac:dyDescent="0.25">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row r="1000" spans="1:26" x14ac:dyDescent="0.25">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phoneticPr fontId="11" type="noConversion"/>
  <dataValidations count="1">
    <dataValidation type="list" allowBlank="1" showErrorMessage="1" sqref="J2:J15" xr:uid="{FCE38AF4-337D-4A23-82D4-AE78CAFACF50}">
      <formula1>"Critical ,High,Medium,Low"</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2D2E-3AC7-4B6F-ACF8-C799D0C34AEF}">
  <dimension ref="A1:L4"/>
  <sheetViews>
    <sheetView workbookViewId="0">
      <selection activeCell="M32" sqref="M32"/>
    </sheetView>
  </sheetViews>
  <sheetFormatPr defaultColWidth="8.875" defaultRowHeight="16.5" x14ac:dyDescent="0.25"/>
  <cols>
    <col min="1" max="1" width="12.25" style="30" customWidth="1"/>
    <col min="2" max="2" width="22.375" style="30" bestFit="1" customWidth="1"/>
    <col min="3" max="3" width="19.25" style="30" bestFit="1" customWidth="1"/>
    <col min="4" max="4" width="30.125" style="30" bestFit="1" customWidth="1"/>
    <col min="5" max="5" width="25.5" style="30" bestFit="1" customWidth="1"/>
    <col min="6" max="6" width="16.125" style="30" bestFit="1" customWidth="1"/>
    <col min="7" max="7" width="12.375" style="30" bestFit="1" customWidth="1"/>
    <col min="8" max="8" width="12.875" style="30" bestFit="1" customWidth="1"/>
    <col min="9" max="9" width="36.875" style="30" bestFit="1" customWidth="1"/>
    <col min="10" max="10" width="16.5" style="30" bestFit="1" customWidth="1"/>
    <col min="11" max="11" width="80.375" style="30" bestFit="1" customWidth="1"/>
    <col min="12" max="12" width="22.125" style="30" bestFit="1" customWidth="1"/>
    <col min="13" max="16384" width="8.875" style="13"/>
  </cols>
  <sheetData>
    <row r="1" spans="1:12" s="12" customFormat="1" x14ac:dyDescent="0.2">
      <c r="A1" s="26" t="s">
        <v>439</v>
      </c>
      <c r="B1" s="26" t="s">
        <v>440</v>
      </c>
      <c r="C1" s="26" t="s">
        <v>56</v>
      </c>
      <c r="D1" s="26" t="s">
        <v>441</v>
      </c>
      <c r="E1" s="26" t="s">
        <v>442</v>
      </c>
      <c r="F1" s="26" t="s">
        <v>443</v>
      </c>
      <c r="G1" s="26" t="s">
        <v>444</v>
      </c>
      <c r="H1" s="26" t="s">
        <v>445</v>
      </c>
      <c r="I1" s="26" t="s">
        <v>446</v>
      </c>
      <c r="J1" s="26" t="s">
        <v>447</v>
      </c>
      <c r="K1" s="26" t="s">
        <v>448</v>
      </c>
      <c r="L1" s="26" t="s">
        <v>449</v>
      </c>
    </row>
    <row r="2" spans="1:12" x14ac:dyDescent="0.25">
      <c r="A2" s="28"/>
      <c r="B2" s="28"/>
      <c r="C2" s="28"/>
      <c r="D2" s="28"/>
      <c r="E2" s="28"/>
      <c r="F2" s="28"/>
      <c r="G2" s="28"/>
      <c r="H2" s="28"/>
      <c r="I2" s="28"/>
      <c r="J2" s="28"/>
      <c r="K2" s="28"/>
      <c r="L2" s="29"/>
    </row>
    <row r="3" spans="1:12" x14ac:dyDescent="0.25">
      <c r="A3" s="28"/>
      <c r="B3" s="28"/>
      <c r="C3" s="28"/>
      <c r="D3" s="28"/>
      <c r="E3" s="28"/>
      <c r="F3" s="28"/>
      <c r="G3" s="28"/>
      <c r="H3" s="28"/>
      <c r="I3" s="28"/>
      <c r="J3" s="28"/>
      <c r="K3" s="29"/>
      <c r="L3" s="28"/>
    </row>
    <row r="4" spans="1:12" x14ac:dyDescent="0.25">
      <c r="A4" s="28"/>
      <c r="B4" s="28"/>
      <c r="C4" s="28"/>
      <c r="D4" s="28"/>
      <c r="E4" s="28"/>
      <c r="F4" s="28"/>
      <c r="G4" s="28"/>
      <c r="H4" s="28"/>
      <c r="I4" s="28"/>
      <c r="J4" s="28"/>
      <c r="K4" s="28"/>
      <c r="L4" s="2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20EA0C16DB924CBD55449FA91F146B" ma:contentTypeVersion="14" ma:contentTypeDescription="Create a new document." ma:contentTypeScope="" ma:versionID="24a4f01a10f4b2d43d43801f992dcd64">
  <xsd:schema xmlns:xsd="http://www.w3.org/2001/XMLSchema" xmlns:xs="http://www.w3.org/2001/XMLSchema" xmlns:p="http://schemas.microsoft.com/office/2006/metadata/properties" xmlns:ns3="6d2d69d5-292a-4748-a57b-62c3977d90e7" xmlns:ns4="0ee018d6-08b3-4c85-a43a-b982f3267400" targetNamespace="http://schemas.microsoft.com/office/2006/metadata/properties" ma:root="true" ma:fieldsID="b9d69c338f40ca81697a38a9b7bfd980" ns3:_="" ns4:_="">
    <xsd:import namespace="6d2d69d5-292a-4748-a57b-62c3977d90e7"/>
    <xsd:import namespace="0ee018d6-08b3-4c85-a43a-b982f3267400"/>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d69d5-292a-4748-a57b-62c3977d90e7"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ee018d6-08b3-4c85-a43a-b982f3267400"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d2d69d5-292a-4748-a57b-62c3977d90e7" xsi:nil="true"/>
  </documentManagement>
</p:properties>
</file>

<file path=customXml/itemProps1.xml><?xml version="1.0" encoding="utf-8"?>
<ds:datastoreItem xmlns:ds="http://schemas.openxmlformats.org/officeDocument/2006/customXml" ds:itemID="{C0353802-A6C5-47B2-8017-693ABEBAB7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2d69d5-292a-4748-a57b-62c3977d90e7"/>
    <ds:schemaRef ds:uri="0ee018d6-08b3-4c85-a43a-b982f32674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7D0DC2-5462-45F7-9371-5EF057A28FE5}">
  <ds:schemaRefs>
    <ds:schemaRef ds:uri="http://schemas.microsoft.com/sharepoint/v3/contenttype/forms"/>
  </ds:schemaRefs>
</ds:datastoreItem>
</file>

<file path=customXml/itemProps3.xml><?xml version="1.0" encoding="utf-8"?>
<ds:datastoreItem xmlns:ds="http://schemas.openxmlformats.org/officeDocument/2006/customXml" ds:itemID="{257DB5CB-CFD4-4C4F-8FAD-47B30753F6A5}">
  <ds:schemaRefs>
    <ds:schemaRef ds:uri="http://purl.org/dc/terms/"/>
    <ds:schemaRef ds:uri="http://purl.org/dc/dcmitype/"/>
    <ds:schemaRef ds:uri="http://schemas.microsoft.com/office/2006/documentManagement/types"/>
    <ds:schemaRef ds:uri="http://www.w3.org/XML/1998/namespace"/>
    <ds:schemaRef ds:uri="0ee018d6-08b3-4c85-a43a-b982f3267400"/>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6d2d69d5-292a-4748-a57b-62c3977d90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9</vt:i4>
      </vt:variant>
    </vt:vector>
  </HeadingPairs>
  <TitlesOfParts>
    <vt:vector size="9" baseType="lpstr">
      <vt:lpstr>Plan&amp;Control</vt:lpstr>
      <vt:lpstr>Cover</vt:lpstr>
      <vt:lpstr>Checklist</vt:lpstr>
      <vt:lpstr>GUI Test</vt:lpstr>
      <vt:lpstr>Scenario</vt:lpstr>
      <vt:lpstr>Testcases 3 - Đặt phòng</vt:lpstr>
      <vt:lpstr>Testcases 2 - Đăng ký</vt:lpstr>
      <vt:lpstr>Testcases 1 - Đăng nhập</vt:lpstr>
      <vt:lpstr>Bug Tracking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Khoa</dc:creator>
  <cp:keywords/>
  <dc:description/>
  <cp:lastModifiedBy>Đặng Quốc Hưng</cp:lastModifiedBy>
  <cp:revision/>
  <dcterms:created xsi:type="dcterms:W3CDTF">2025-10-09T15:37:33Z</dcterms:created>
  <dcterms:modified xsi:type="dcterms:W3CDTF">2025-11-07T07:56:54Z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0x0101009820EA0C16DB924CBD55449FA91F146B</vt:lpwstr>
  </property>
</Properties>
</file>